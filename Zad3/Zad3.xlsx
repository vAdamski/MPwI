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mludwiczak/Projects/AOI/Zjazd3/"/>
    </mc:Choice>
  </mc:AlternateContent>
  <xr:revisionPtr revIDLastSave="0" documentId="13_ncr:1_{F81100BE-1AA7-A94D-A780-B3AC2ACF9851}" xr6:coauthVersionLast="47" xr6:coauthVersionMax="47" xr10:uidLastSave="{00000000-0000-0000-0000-000000000000}"/>
  <bookViews>
    <workbookView xWindow="0" yWindow="0" windowWidth="33600" windowHeight="21000" xr2:uid="{30F15C53-9D58-6A44-9857-3CCA7536F77E}"/>
  </bookViews>
  <sheets>
    <sheet name="Arkusz1" sheetId="1" r:id="rId1"/>
  </sheets>
  <definedNames>
    <definedName name="dane_19" localSheetId="0">Arkusz1!$B$2:$B$72</definedName>
    <definedName name="dane_20" localSheetId="0">Arkusz1!$C$2:$C$72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9" i="1" l="1"/>
  <c r="K68" i="1"/>
  <c r="K67" i="1"/>
  <c r="H63" i="1"/>
  <c r="K65" i="1"/>
  <c r="K64" i="1"/>
  <c r="H67" i="1"/>
  <c r="H66" i="1"/>
  <c r="H65" i="1"/>
  <c r="H6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69AFC6-5AE8-DA41-A39F-3E8B00054A92}" name="dane_19" type="6" refreshedVersion="7" background="1" saveData="1">
    <textPr sourceFile="/Users/adamludwiczak/Projects/AOI/dane_19.txt" decimal="," thousands=" ">
      <textFields>
        <textField/>
      </textFields>
    </textPr>
  </connection>
  <connection id="2" xr16:uid="{1F3748E3-E0FE-BD4B-9147-15F5B2C8EB72}" name="dane_191" type="6" refreshedVersion="7" background="1" saveData="1">
    <textPr sourceFile="/Users/adamludwiczak/Projects/AOI/dane_19.txt" decimal="," thousands=" ">
      <textFields>
        <textField/>
      </textFields>
    </textPr>
  </connection>
</connections>
</file>

<file path=xl/sharedStrings.xml><?xml version="1.0" encoding="utf-8"?>
<sst xmlns="http://schemas.openxmlformats.org/spreadsheetml/2006/main" count="16" uniqueCount="16">
  <si>
    <t>Numer próbki</t>
  </si>
  <si>
    <t>Dane wejściowe</t>
  </si>
  <si>
    <t>Dane posortowane</t>
  </si>
  <si>
    <t>Wartość min</t>
  </si>
  <si>
    <t>Wartość max</t>
  </si>
  <si>
    <t>Średnia</t>
  </si>
  <si>
    <t>odchylenie standardowe</t>
  </si>
  <si>
    <t>B4Plus</t>
  </si>
  <si>
    <t>B4Minus</t>
  </si>
  <si>
    <t>Liczność</t>
  </si>
  <si>
    <t>Dane</t>
  </si>
  <si>
    <t>Poziom istotności</t>
  </si>
  <si>
    <t>ß</t>
  </si>
  <si>
    <t>y</t>
  </si>
  <si>
    <t>b4</t>
  </si>
  <si>
    <t>Wyniki nie sa obarczone błędami grubymi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</si>
</sst>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0" fontId="0" fillId="0" borderId="0" xfId="0" applyNumberFormat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Dane posortowane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Arkusz1!$C$2:$C$71</c:f>
              <c:numCache>
                <c:formatCode>General</c:formatCode>
                <c:ptCount val="70"/>
                <c:pt idx="0">
                  <c:v>0.186</c:v>
                </c:pt>
                <c:pt idx="1">
                  <c:v>0.186</c:v>
                </c:pt>
                <c:pt idx="2">
                  <c:v>0.187</c:v>
                </c:pt>
                <c:pt idx="3">
                  <c:v>0.187</c:v>
                </c:pt>
                <c:pt idx="4">
                  <c:v>0.187</c:v>
                </c:pt>
                <c:pt idx="5">
                  <c:v>0.187</c:v>
                </c:pt>
                <c:pt idx="6">
                  <c:v>0.187</c:v>
                </c:pt>
                <c:pt idx="7">
                  <c:v>0.187</c:v>
                </c:pt>
                <c:pt idx="8">
                  <c:v>0.188</c:v>
                </c:pt>
                <c:pt idx="9">
                  <c:v>0.188</c:v>
                </c:pt>
                <c:pt idx="10">
                  <c:v>0.188</c:v>
                </c:pt>
                <c:pt idx="11">
                  <c:v>0.188</c:v>
                </c:pt>
                <c:pt idx="12">
                  <c:v>0.188</c:v>
                </c:pt>
                <c:pt idx="13">
                  <c:v>0.188</c:v>
                </c:pt>
                <c:pt idx="14">
                  <c:v>0.189</c:v>
                </c:pt>
                <c:pt idx="15">
                  <c:v>0.189</c:v>
                </c:pt>
                <c:pt idx="16">
                  <c:v>0.189</c:v>
                </c:pt>
                <c:pt idx="17">
                  <c:v>0.189</c:v>
                </c:pt>
                <c:pt idx="18">
                  <c:v>0.189</c:v>
                </c:pt>
                <c:pt idx="19">
                  <c:v>0.189</c:v>
                </c:pt>
                <c:pt idx="20">
                  <c:v>0.189</c:v>
                </c:pt>
                <c:pt idx="21">
                  <c:v>0.189</c:v>
                </c:pt>
                <c:pt idx="22">
                  <c:v>0.189</c:v>
                </c:pt>
                <c:pt idx="23">
                  <c:v>0.189</c:v>
                </c:pt>
                <c:pt idx="24">
                  <c:v>0.189</c:v>
                </c:pt>
                <c:pt idx="25">
                  <c:v>0.189</c:v>
                </c:pt>
                <c:pt idx="26">
                  <c:v>0.19</c:v>
                </c:pt>
                <c:pt idx="27">
                  <c:v>0.19</c:v>
                </c:pt>
                <c:pt idx="28">
                  <c:v>0.19</c:v>
                </c:pt>
                <c:pt idx="29">
                  <c:v>0.19</c:v>
                </c:pt>
                <c:pt idx="30">
                  <c:v>0.19</c:v>
                </c:pt>
                <c:pt idx="31">
                  <c:v>0.19</c:v>
                </c:pt>
                <c:pt idx="32">
                  <c:v>0.19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0.19</c:v>
                </c:pt>
                <c:pt idx="37">
                  <c:v>0.19</c:v>
                </c:pt>
                <c:pt idx="38">
                  <c:v>0.19</c:v>
                </c:pt>
                <c:pt idx="39">
                  <c:v>0.19</c:v>
                </c:pt>
                <c:pt idx="40">
                  <c:v>0.191</c:v>
                </c:pt>
                <c:pt idx="41">
                  <c:v>0.191</c:v>
                </c:pt>
                <c:pt idx="42">
                  <c:v>0.191</c:v>
                </c:pt>
                <c:pt idx="43">
                  <c:v>0.191</c:v>
                </c:pt>
                <c:pt idx="44">
                  <c:v>0.191</c:v>
                </c:pt>
                <c:pt idx="45">
                  <c:v>0.191</c:v>
                </c:pt>
                <c:pt idx="46">
                  <c:v>0.191</c:v>
                </c:pt>
                <c:pt idx="47">
                  <c:v>0.191</c:v>
                </c:pt>
                <c:pt idx="48">
                  <c:v>0.191</c:v>
                </c:pt>
                <c:pt idx="49">
                  <c:v>0.191</c:v>
                </c:pt>
                <c:pt idx="50">
                  <c:v>0.191</c:v>
                </c:pt>
                <c:pt idx="51">
                  <c:v>0.191</c:v>
                </c:pt>
                <c:pt idx="52">
                  <c:v>0.191</c:v>
                </c:pt>
                <c:pt idx="53">
                  <c:v>0.192</c:v>
                </c:pt>
                <c:pt idx="54">
                  <c:v>0.192</c:v>
                </c:pt>
                <c:pt idx="55">
                  <c:v>0.192</c:v>
                </c:pt>
                <c:pt idx="56">
                  <c:v>0.192</c:v>
                </c:pt>
                <c:pt idx="57">
                  <c:v>0.192</c:v>
                </c:pt>
                <c:pt idx="58">
                  <c:v>0.192</c:v>
                </c:pt>
                <c:pt idx="59">
                  <c:v>0.192</c:v>
                </c:pt>
                <c:pt idx="60">
                  <c:v>0.192</c:v>
                </c:pt>
                <c:pt idx="61">
                  <c:v>0.193</c:v>
                </c:pt>
                <c:pt idx="62">
                  <c:v>0.193</c:v>
                </c:pt>
                <c:pt idx="63">
                  <c:v>0.193</c:v>
                </c:pt>
                <c:pt idx="64">
                  <c:v>0.193</c:v>
                </c:pt>
                <c:pt idx="65">
                  <c:v>0.193</c:v>
                </c:pt>
                <c:pt idx="66">
                  <c:v>0.19400000000000001</c:v>
                </c:pt>
                <c:pt idx="67">
                  <c:v>0.19400000000000001</c:v>
                </c:pt>
                <c:pt idx="68">
                  <c:v>0.19400000000000001</c:v>
                </c:pt>
                <c:pt idx="69">
                  <c:v>0.19400000000000001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6-B948-AD85-3A7CCC1E7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7935"/>
        <c:axId val="8438191"/>
      </c:scatterChart>
      <c:valAx>
        <c:axId val="851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38191"/>
        <c:crosses val="autoZero"/>
        <c:crossBetween val="midCat"/>
      </c:valAx>
      <c:valAx>
        <c:axId val="843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1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Dane wejściowe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xVal>
          <c:yVal>
            <c:numRef>
              <c:f>Arkusz1!$B$2:$B$71</c:f>
              <c:numCache>
                <c:formatCode>General</c:formatCode>
                <c:ptCount val="70"/>
                <c:pt idx="0">
                  <c:v>0.19400000000000001</c:v>
                </c:pt>
                <c:pt idx="1">
                  <c:v>0.193</c:v>
                </c:pt>
                <c:pt idx="2">
                  <c:v>0.19400000000000001</c:v>
                </c:pt>
                <c:pt idx="3">
                  <c:v>0.188</c:v>
                </c:pt>
                <c:pt idx="4">
                  <c:v>0.19</c:v>
                </c:pt>
                <c:pt idx="5">
                  <c:v>0.192</c:v>
                </c:pt>
                <c:pt idx="6">
                  <c:v>0.19</c:v>
                </c:pt>
                <c:pt idx="7">
                  <c:v>0.189</c:v>
                </c:pt>
                <c:pt idx="8">
                  <c:v>0.19</c:v>
                </c:pt>
                <c:pt idx="9">
                  <c:v>0.192</c:v>
                </c:pt>
                <c:pt idx="10">
                  <c:v>0.192</c:v>
                </c:pt>
                <c:pt idx="11">
                  <c:v>0.19</c:v>
                </c:pt>
                <c:pt idx="12">
                  <c:v>0.193</c:v>
                </c:pt>
                <c:pt idx="13">
                  <c:v>0.189</c:v>
                </c:pt>
                <c:pt idx="14">
                  <c:v>0.191</c:v>
                </c:pt>
                <c:pt idx="15">
                  <c:v>0.19400000000000001</c:v>
                </c:pt>
                <c:pt idx="16">
                  <c:v>0.191</c:v>
                </c:pt>
                <c:pt idx="17">
                  <c:v>0.189</c:v>
                </c:pt>
                <c:pt idx="18">
                  <c:v>0.19</c:v>
                </c:pt>
                <c:pt idx="19">
                  <c:v>0.188</c:v>
                </c:pt>
                <c:pt idx="20">
                  <c:v>0.191</c:v>
                </c:pt>
                <c:pt idx="21">
                  <c:v>0.192</c:v>
                </c:pt>
                <c:pt idx="22">
                  <c:v>0.191</c:v>
                </c:pt>
                <c:pt idx="23">
                  <c:v>0.19</c:v>
                </c:pt>
                <c:pt idx="24">
                  <c:v>0.188</c:v>
                </c:pt>
                <c:pt idx="25">
                  <c:v>0.187</c:v>
                </c:pt>
                <c:pt idx="26">
                  <c:v>0.186</c:v>
                </c:pt>
                <c:pt idx="27">
                  <c:v>0.189</c:v>
                </c:pt>
                <c:pt idx="28">
                  <c:v>0.188</c:v>
                </c:pt>
                <c:pt idx="29">
                  <c:v>0.191</c:v>
                </c:pt>
                <c:pt idx="30">
                  <c:v>0.189</c:v>
                </c:pt>
                <c:pt idx="31">
                  <c:v>0.19</c:v>
                </c:pt>
                <c:pt idx="32">
                  <c:v>0.186</c:v>
                </c:pt>
                <c:pt idx="33">
                  <c:v>0.189</c:v>
                </c:pt>
                <c:pt idx="34">
                  <c:v>0.191</c:v>
                </c:pt>
                <c:pt idx="35">
                  <c:v>0.193</c:v>
                </c:pt>
                <c:pt idx="36">
                  <c:v>0.187</c:v>
                </c:pt>
                <c:pt idx="37">
                  <c:v>0.19</c:v>
                </c:pt>
                <c:pt idx="38">
                  <c:v>0.193</c:v>
                </c:pt>
                <c:pt idx="39">
                  <c:v>0.19</c:v>
                </c:pt>
                <c:pt idx="40">
                  <c:v>0.19</c:v>
                </c:pt>
                <c:pt idx="41">
                  <c:v>0.19</c:v>
                </c:pt>
                <c:pt idx="42">
                  <c:v>0.192</c:v>
                </c:pt>
                <c:pt idx="43">
                  <c:v>0.189</c:v>
                </c:pt>
                <c:pt idx="44">
                  <c:v>0.19400000000000001</c:v>
                </c:pt>
                <c:pt idx="45">
                  <c:v>0.191</c:v>
                </c:pt>
                <c:pt idx="46">
                  <c:v>0.192</c:v>
                </c:pt>
                <c:pt idx="47">
                  <c:v>0.191</c:v>
                </c:pt>
                <c:pt idx="48">
                  <c:v>0.189</c:v>
                </c:pt>
                <c:pt idx="49">
                  <c:v>0.189</c:v>
                </c:pt>
                <c:pt idx="50">
                  <c:v>0.189</c:v>
                </c:pt>
                <c:pt idx="51">
                  <c:v>0.187</c:v>
                </c:pt>
                <c:pt idx="52">
                  <c:v>0.191</c:v>
                </c:pt>
                <c:pt idx="53">
                  <c:v>0.191</c:v>
                </c:pt>
                <c:pt idx="54">
                  <c:v>0.189</c:v>
                </c:pt>
                <c:pt idx="55">
                  <c:v>0.19</c:v>
                </c:pt>
                <c:pt idx="56">
                  <c:v>0.191</c:v>
                </c:pt>
                <c:pt idx="57">
                  <c:v>0.187</c:v>
                </c:pt>
                <c:pt idx="58">
                  <c:v>0.187</c:v>
                </c:pt>
                <c:pt idx="59">
                  <c:v>0.193</c:v>
                </c:pt>
                <c:pt idx="60">
                  <c:v>0.19</c:v>
                </c:pt>
                <c:pt idx="61">
                  <c:v>0.192</c:v>
                </c:pt>
                <c:pt idx="62">
                  <c:v>0.191</c:v>
                </c:pt>
                <c:pt idx="63">
                  <c:v>0.188</c:v>
                </c:pt>
                <c:pt idx="64">
                  <c:v>0.187</c:v>
                </c:pt>
                <c:pt idx="65">
                  <c:v>0.191</c:v>
                </c:pt>
                <c:pt idx="66">
                  <c:v>0.19</c:v>
                </c:pt>
                <c:pt idx="67">
                  <c:v>0.192</c:v>
                </c:pt>
                <c:pt idx="68">
                  <c:v>0.188</c:v>
                </c:pt>
                <c:pt idx="69">
                  <c:v>0.189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20-6E4C-9F2C-DA91100A2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7935"/>
        <c:axId val="8438191"/>
      </c:scatterChart>
      <c:valAx>
        <c:axId val="851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38191"/>
        <c:crosses val="autoZero"/>
        <c:crossBetween val="midCat"/>
      </c:valAx>
      <c:valAx>
        <c:axId val="843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51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36</xdr:row>
      <xdr:rowOff>0</xdr:rowOff>
    </xdr:from>
    <xdr:to>
      <xdr:col>20</xdr:col>
      <xdr:colOff>254000</xdr:colOff>
      <xdr:row>59</xdr:row>
      <xdr:rowOff>82550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3C916A7-8749-FB41-997E-49E772605E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20</xdr:col>
      <xdr:colOff>254000</xdr:colOff>
      <xdr:row>31</xdr:row>
      <xdr:rowOff>82550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36EDEE17-0373-A240-BF57-A1853DBCE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_20" connectionId="2" xr16:uid="{83C3B3C2-B1BB-D548-8905-3CD128A877F4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_19" connectionId="1" xr16:uid="{C10CDD8C-3FED-C64A-B73A-6803A670A64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88D3-6BDC-4A4A-B35B-432DC5D53FF5}">
  <dimension ref="A1:L71"/>
  <sheetViews>
    <sheetView tabSelected="1" topLeftCell="C51" zoomScale="150" workbookViewId="0">
      <selection activeCell="K64" sqref="K64"/>
    </sheetView>
  </sheetViews>
  <sheetFormatPr baseColWidth="10" defaultRowHeight="16" x14ac:dyDescent="0.2"/>
  <cols>
    <col min="1" max="1" width="12.5" bestFit="1" customWidth="1"/>
    <col min="2" max="2" width="14.33203125" bestFit="1" customWidth="1"/>
    <col min="3" max="3" width="16.6640625" bestFit="1" customWidth="1"/>
    <col min="7" max="7" width="21.1640625" bestFit="1" customWidth="1"/>
    <col min="8" max="8" width="11.6640625" bestFit="1" customWidth="1"/>
    <col min="12" max="12" width="14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0.19400000000000001</v>
      </c>
      <c r="C2">
        <v>0.186</v>
      </c>
    </row>
    <row r="3" spans="1:3" x14ac:dyDescent="0.2">
      <c r="A3">
        <v>2</v>
      </c>
      <c r="B3">
        <v>0.193</v>
      </c>
      <c r="C3">
        <v>0.186</v>
      </c>
    </row>
    <row r="4" spans="1:3" x14ac:dyDescent="0.2">
      <c r="A4">
        <v>3</v>
      </c>
      <c r="B4">
        <v>0.19400000000000001</v>
      </c>
      <c r="C4">
        <v>0.187</v>
      </c>
    </row>
    <row r="5" spans="1:3" x14ac:dyDescent="0.2">
      <c r="A5">
        <v>4</v>
      </c>
      <c r="B5">
        <v>0.188</v>
      </c>
      <c r="C5">
        <v>0.187</v>
      </c>
    </row>
    <row r="6" spans="1:3" x14ac:dyDescent="0.2">
      <c r="A6">
        <v>5</v>
      </c>
      <c r="B6">
        <v>0.19</v>
      </c>
      <c r="C6">
        <v>0.187</v>
      </c>
    </row>
    <row r="7" spans="1:3" x14ac:dyDescent="0.2">
      <c r="A7">
        <v>6</v>
      </c>
      <c r="B7">
        <v>0.192</v>
      </c>
      <c r="C7">
        <v>0.187</v>
      </c>
    </row>
    <row r="8" spans="1:3" x14ac:dyDescent="0.2">
      <c r="A8">
        <v>7</v>
      </c>
      <c r="B8">
        <v>0.19</v>
      </c>
      <c r="C8">
        <v>0.187</v>
      </c>
    </row>
    <row r="9" spans="1:3" x14ac:dyDescent="0.2">
      <c r="A9">
        <v>8</v>
      </c>
      <c r="B9">
        <v>0.189</v>
      </c>
      <c r="C9">
        <v>0.187</v>
      </c>
    </row>
    <row r="10" spans="1:3" x14ac:dyDescent="0.2">
      <c r="A10">
        <v>9</v>
      </c>
      <c r="B10">
        <v>0.19</v>
      </c>
      <c r="C10">
        <v>0.188</v>
      </c>
    </row>
    <row r="11" spans="1:3" x14ac:dyDescent="0.2">
      <c r="A11">
        <v>10</v>
      </c>
      <c r="B11">
        <v>0.192</v>
      </c>
      <c r="C11">
        <v>0.188</v>
      </c>
    </row>
    <row r="12" spans="1:3" x14ac:dyDescent="0.2">
      <c r="A12">
        <v>11</v>
      </c>
      <c r="B12">
        <v>0.192</v>
      </c>
      <c r="C12">
        <v>0.188</v>
      </c>
    </row>
    <row r="13" spans="1:3" x14ac:dyDescent="0.2">
      <c r="A13">
        <v>12</v>
      </c>
      <c r="B13">
        <v>0.19</v>
      </c>
      <c r="C13">
        <v>0.188</v>
      </c>
    </row>
    <row r="14" spans="1:3" x14ac:dyDescent="0.2">
      <c r="A14">
        <v>13</v>
      </c>
      <c r="B14">
        <v>0.193</v>
      </c>
      <c r="C14">
        <v>0.188</v>
      </c>
    </row>
    <row r="15" spans="1:3" x14ac:dyDescent="0.2">
      <c r="A15">
        <v>14</v>
      </c>
      <c r="B15">
        <v>0.189</v>
      </c>
      <c r="C15">
        <v>0.188</v>
      </c>
    </row>
    <row r="16" spans="1:3" x14ac:dyDescent="0.2">
      <c r="A16">
        <v>15</v>
      </c>
      <c r="B16">
        <v>0.191</v>
      </c>
      <c r="C16">
        <v>0.189</v>
      </c>
    </row>
    <row r="17" spans="1:3" x14ac:dyDescent="0.2">
      <c r="A17">
        <v>16</v>
      </c>
      <c r="B17">
        <v>0.19400000000000001</v>
      </c>
      <c r="C17">
        <v>0.189</v>
      </c>
    </row>
    <row r="18" spans="1:3" x14ac:dyDescent="0.2">
      <c r="A18">
        <v>17</v>
      </c>
      <c r="B18">
        <v>0.191</v>
      </c>
      <c r="C18">
        <v>0.189</v>
      </c>
    </row>
    <row r="19" spans="1:3" x14ac:dyDescent="0.2">
      <c r="A19">
        <v>18</v>
      </c>
      <c r="B19">
        <v>0.189</v>
      </c>
      <c r="C19">
        <v>0.189</v>
      </c>
    </row>
    <row r="20" spans="1:3" x14ac:dyDescent="0.2">
      <c r="A20">
        <v>19</v>
      </c>
      <c r="B20">
        <v>0.19</v>
      </c>
      <c r="C20">
        <v>0.189</v>
      </c>
    </row>
    <row r="21" spans="1:3" x14ac:dyDescent="0.2">
      <c r="A21">
        <v>20</v>
      </c>
      <c r="B21">
        <v>0.188</v>
      </c>
      <c r="C21">
        <v>0.189</v>
      </c>
    </row>
    <row r="22" spans="1:3" x14ac:dyDescent="0.2">
      <c r="A22">
        <v>21</v>
      </c>
      <c r="B22">
        <v>0.191</v>
      </c>
      <c r="C22">
        <v>0.189</v>
      </c>
    </row>
    <row r="23" spans="1:3" x14ac:dyDescent="0.2">
      <c r="A23">
        <v>22</v>
      </c>
      <c r="B23">
        <v>0.192</v>
      </c>
      <c r="C23">
        <v>0.189</v>
      </c>
    </row>
    <row r="24" spans="1:3" x14ac:dyDescent="0.2">
      <c r="A24">
        <v>23</v>
      </c>
      <c r="B24">
        <v>0.191</v>
      </c>
      <c r="C24">
        <v>0.189</v>
      </c>
    </row>
    <row r="25" spans="1:3" x14ac:dyDescent="0.2">
      <c r="A25">
        <v>24</v>
      </c>
      <c r="B25">
        <v>0.19</v>
      </c>
      <c r="C25">
        <v>0.189</v>
      </c>
    </row>
    <row r="26" spans="1:3" x14ac:dyDescent="0.2">
      <c r="A26">
        <v>25</v>
      </c>
      <c r="B26">
        <v>0.188</v>
      </c>
      <c r="C26">
        <v>0.189</v>
      </c>
    </row>
    <row r="27" spans="1:3" x14ac:dyDescent="0.2">
      <c r="A27">
        <v>26</v>
      </c>
      <c r="B27">
        <v>0.187</v>
      </c>
      <c r="C27">
        <v>0.189</v>
      </c>
    </row>
    <row r="28" spans="1:3" x14ac:dyDescent="0.2">
      <c r="A28">
        <v>27</v>
      </c>
      <c r="B28">
        <v>0.186</v>
      </c>
      <c r="C28">
        <v>0.19</v>
      </c>
    </row>
    <row r="29" spans="1:3" x14ac:dyDescent="0.2">
      <c r="A29">
        <v>28</v>
      </c>
      <c r="B29">
        <v>0.189</v>
      </c>
      <c r="C29">
        <v>0.19</v>
      </c>
    </row>
    <row r="30" spans="1:3" x14ac:dyDescent="0.2">
      <c r="A30">
        <v>29</v>
      </c>
      <c r="B30">
        <v>0.188</v>
      </c>
      <c r="C30">
        <v>0.19</v>
      </c>
    </row>
    <row r="31" spans="1:3" x14ac:dyDescent="0.2">
      <c r="A31">
        <v>30</v>
      </c>
      <c r="B31">
        <v>0.191</v>
      </c>
      <c r="C31">
        <v>0.19</v>
      </c>
    </row>
    <row r="32" spans="1:3" x14ac:dyDescent="0.2">
      <c r="A32">
        <v>31</v>
      </c>
      <c r="B32">
        <v>0.189</v>
      </c>
      <c r="C32">
        <v>0.19</v>
      </c>
    </row>
    <row r="33" spans="1:3" x14ac:dyDescent="0.2">
      <c r="A33">
        <v>32</v>
      </c>
      <c r="B33">
        <v>0.19</v>
      </c>
      <c r="C33">
        <v>0.19</v>
      </c>
    </row>
    <row r="34" spans="1:3" x14ac:dyDescent="0.2">
      <c r="A34">
        <v>33</v>
      </c>
      <c r="B34">
        <v>0.186</v>
      </c>
      <c r="C34">
        <v>0.19</v>
      </c>
    </row>
    <row r="35" spans="1:3" x14ac:dyDescent="0.2">
      <c r="A35">
        <v>34</v>
      </c>
      <c r="B35">
        <v>0.189</v>
      </c>
      <c r="C35">
        <v>0.19</v>
      </c>
    </row>
    <row r="36" spans="1:3" x14ac:dyDescent="0.2">
      <c r="A36">
        <v>35</v>
      </c>
      <c r="B36">
        <v>0.191</v>
      </c>
      <c r="C36">
        <v>0.19</v>
      </c>
    </row>
    <row r="37" spans="1:3" x14ac:dyDescent="0.2">
      <c r="A37">
        <v>36</v>
      </c>
      <c r="B37">
        <v>0.193</v>
      </c>
      <c r="C37">
        <v>0.19</v>
      </c>
    </row>
    <row r="38" spans="1:3" x14ac:dyDescent="0.2">
      <c r="A38">
        <v>37</v>
      </c>
      <c r="B38">
        <v>0.187</v>
      </c>
      <c r="C38">
        <v>0.19</v>
      </c>
    </row>
    <row r="39" spans="1:3" x14ac:dyDescent="0.2">
      <c r="A39">
        <v>38</v>
      </c>
      <c r="B39">
        <v>0.19</v>
      </c>
      <c r="C39">
        <v>0.19</v>
      </c>
    </row>
    <row r="40" spans="1:3" x14ac:dyDescent="0.2">
      <c r="A40">
        <v>39</v>
      </c>
      <c r="B40">
        <v>0.193</v>
      </c>
      <c r="C40">
        <v>0.19</v>
      </c>
    </row>
    <row r="41" spans="1:3" x14ac:dyDescent="0.2">
      <c r="A41">
        <v>40</v>
      </c>
      <c r="B41">
        <v>0.19</v>
      </c>
      <c r="C41">
        <v>0.19</v>
      </c>
    </row>
    <row r="42" spans="1:3" x14ac:dyDescent="0.2">
      <c r="A42">
        <v>41</v>
      </c>
      <c r="B42">
        <v>0.19</v>
      </c>
      <c r="C42">
        <v>0.191</v>
      </c>
    </row>
    <row r="43" spans="1:3" x14ac:dyDescent="0.2">
      <c r="A43">
        <v>42</v>
      </c>
      <c r="B43">
        <v>0.19</v>
      </c>
      <c r="C43">
        <v>0.191</v>
      </c>
    </row>
    <row r="44" spans="1:3" x14ac:dyDescent="0.2">
      <c r="A44">
        <v>43</v>
      </c>
      <c r="B44">
        <v>0.192</v>
      </c>
      <c r="C44">
        <v>0.191</v>
      </c>
    </row>
    <row r="45" spans="1:3" x14ac:dyDescent="0.2">
      <c r="A45">
        <v>44</v>
      </c>
      <c r="B45">
        <v>0.189</v>
      </c>
      <c r="C45">
        <v>0.191</v>
      </c>
    </row>
    <row r="46" spans="1:3" x14ac:dyDescent="0.2">
      <c r="A46">
        <v>45</v>
      </c>
      <c r="B46">
        <v>0.19400000000000001</v>
      </c>
      <c r="C46">
        <v>0.191</v>
      </c>
    </row>
    <row r="47" spans="1:3" x14ac:dyDescent="0.2">
      <c r="A47">
        <v>46</v>
      </c>
      <c r="B47">
        <v>0.191</v>
      </c>
      <c r="C47">
        <v>0.191</v>
      </c>
    </row>
    <row r="48" spans="1:3" x14ac:dyDescent="0.2">
      <c r="A48">
        <v>47</v>
      </c>
      <c r="B48">
        <v>0.192</v>
      </c>
      <c r="C48">
        <v>0.191</v>
      </c>
    </row>
    <row r="49" spans="1:11" x14ac:dyDescent="0.2">
      <c r="A49">
        <v>48</v>
      </c>
      <c r="B49">
        <v>0.191</v>
      </c>
      <c r="C49">
        <v>0.191</v>
      </c>
    </row>
    <row r="50" spans="1:11" x14ac:dyDescent="0.2">
      <c r="A50">
        <v>49</v>
      </c>
      <c r="B50">
        <v>0.189</v>
      </c>
      <c r="C50">
        <v>0.191</v>
      </c>
    </row>
    <row r="51" spans="1:11" x14ac:dyDescent="0.2">
      <c r="A51">
        <v>50</v>
      </c>
      <c r="B51">
        <v>0.189</v>
      </c>
      <c r="C51">
        <v>0.191</v>
      </c>
    </row>
    <row r="52" spans="1:11" x14ac:dyDescent="0.2">
      <c r="A52">
        <v>51</v>
      </c>
      <c r="B52">
        <v>0.189</v>
      </c>
      <c r="C52">
        <v>0.191</v>
      </c>
    </row>
    <row r="53" spans="1:11" x14ac:dyDescent="0.2">
      <c r="A53">
        <v>52</v>
      </c>
      <c r="B53">
        <v>0.187</v>
      </c>
      <c r="C53">
        <v>0.191</v>
      </c>
    </row>
    <row r="54" spans="1:11" x14ac:dyDescent="0.2">
      <c r="A54">
        <v>53</v>
      </c>
      <c r="B54">
        <v>0.191</v>
      </c>
      <c r="C54">
        <v>0.191</v>
      </c>
    </row>
    <row r="55" spans="1:11" x14ac:dyDescent="0.2">
      <c r="A55">
        <v>54</v>
      </c>
      <c r="B55">
        <v>0.191</v>
      </c>
      <c r="C55">
        <v>0.192</v>
      </c>
    </row>
    <row r="56" spans="1:11" x14ac:dyDescent="0.2">
      <c r="A56">
        <v>55</v>
      </c>
      <c r="B56">
        <v>0.189</v>
      </c>
      <c r="C56">
        <v>0.192</v>
      </c>
    </row>
    <row r="57" spans="1:11" x14ac:dyDescent="0.2">
      <c r="A57">
        <v>56</v>
      </c>
      <c r="B57">
        <v>0.19</v>
      </c>
      <c r="C57">
        <v>0.192</v>
      </c>
    </row>
    <row r="58" spans="1:11" x14ac:dyDescent="0.2">
      <c r="A58">
        <v>57</v>
      </c>
      <c r="B58">
        <v>0.191</v>
      </c>
      <c r="C58">
        <v>0.192</v>
      </c>
    </row>
    <row r="59" spans="1:11" x14ac:dyDescent="0.2">
      <c r="A59">
        <v>58</v>
      </c>
      <c r="B59">
        <v>0.187</v>
      </c>
      <c r="C59">
        <v>0.192</v>
      </c>
    </row>
    <row r="60" spans="1:11" x14ac:dyDescent="0.2">
      <c r="A60">
        <v>59</v>
      </c>
      <c r="B60">
        <v>0.187</v>
      </c>
      <c r="C60">
        <v>0.192</v>
      </c>
    </row>
    <row r="61" spans="1:11" x14ac:dyDescent="0.2">
      <c r="A61">
        <v>60</v>
      </c>
      <c r="B61">
        <v>0.193</v>
      </c>
      <c r="C61">
        <v>0.192</v>
      </c>
    </row>
    <row r="62" spans="1:11" x14ac:dyDescent="0.2">
      <c r="A62">
        <v>61</v>
      </c>
      <c r="B62">
        <v>0.19</v>
      </c>
      <c r="C62">
        <v>0.192</v>
      </c>
      <c r="G62" s="2" t="s">
        <v>10</v>
      </c>
      <c r="H62" s="2"/>
    </row>
    <row r="63" spans="1:11" x14ac:dyDescent="0.2">
      <c r="A63">
        <v>62</v>
      </c>
      <c r="B63">
        <v>0.192</v>
      </c>
      <c r="C63">
        <v>0.193</v>
      </c>
      <c r="G63" t="s">
        <v>9</v>
      </c>
      <c r="H63">
        <f>COUNT(A2:A71)</f>
        <v>70</v>
      </c>
    </row>
    <row r="64" spans="1:11" x14ac:dyDescent="0.2">
      <c r="A64">
        <v>63</v>
      </c>
      <c r="B64">
        <v>0.191</v>
      </c>
      <c r="C64">
        <v>0.193</v>
      </c>
      <c r="G64" t="s">
        <v>3</v>
      </c>
      <c r="H64">
        <f>MIN(C2:C71)</f>
        <v>0.186</v>
      </c>
      <c r="J64" t="s">
        <v>7</v>
      </c>
      <c r="K64">
        <f>ABS((H65-H66)/H67)</f>
        <v>1.9335820149023728</v>
      </c>
    </row>
    <row r="65" spans="1:12" x14ac:dyDescent="0.2">
      <c r="A65">
        <v>64</v>
      </c>
      <c r="B65">
        <v>0.188</v>
      </c>
      <c r="C65">
        <v>0.193</v>
      </c>
      <c r="G65" t="s">
        <v>4</v>
      </c>
      <c r="H65">
        <f>MAX(C2:C71)</f>
        <v>0.19400000000000001</v>
      </c>
      <c r="J65" t="s">
        <v>8</v>
      </c>
      <c r="K65">
        <f>ABS((H66-H64)/H67)</f>
        <v>2.0768103123028041</v>
      </c>
    </row>
    <row r="66" spans="1:12" x14ac:dyDescent="0.2">
      <c r="A66">
        <v>65</v>
      </c>
      <c r="B66">
        <v>0.187</v>
      </c>
      <c r="C66">
        <v>0.193</v>
      </c>
      <c r="G66" t="s">
        <v>5</v>
      </c>
      <c r="H66" s="1">
        <f>AVERAGE(C2:C71)</f>
        <v>0.19014285714285739</v>
      </c>
    </row>
    <row r="67" spans="1:12" x14ac:dyDescent="0.2">
      <c r="A67">
        <v>66</v>
      </c>
      <c r="B67">
        <v>0.191</v>
      </c>
      <c r="C67">
        <v>0.193</v>
      </c>
      <c r="G67" t="s">
        <v>6</v>
      </c>
      <c r="H67">
        <f>STDEV(C2:C71)</f>
        <v>1.9948173014721401E-3</v>
      </c>
      <c r="J67" t="s">
        <v>12</v>
      </c>
      <c r="K67">
        <f>1-(H68/H63)</f>
        <v>0.99928571428571433</v>
      </c>
    </row>
    <row r="68" spans="1:12" x14ac:dyDescent="0.2">
      <c r="A68">
        <v>67</v>
      </c>
      <c r="B68">
        <v>0.19</v>
      </c>
      <c r="C68">
        <v>0.19400000000000001</v>
      </c>
      <c r="G68" t="s">
        <v>11</v>
      </c>
      <c r="H68">
        <v>0.05</v>
      </c>
      <c r="J68" t="s">
        <v>13</v>
      </c>
      <c r="K68">
        <f>NORMSINV(K67)</f>
        <v>3.1888152586384755</v>
      </c>
    </row>
    <row r="69" spans="1:12" x14ac:dyDescent="0.2">
      <c r="A69">
        <v>68</v>
      </c>
      <c r="B69">
        <v>0.192</v>
      </c>
      <c r="C69">
        <v>0.19400000000000001</v>
      </c>
      <c r="J69" t="s">
        <v>14</v>
      </c>
      <c r="K69">
        <f>K68*SQRT(2*(H63-1)/(2*H63-5+(POWER(K68,2)+(3+POWER(K68,2)+2*POWER(K68,4))*(1)/(6*(2*H63-5)))))</f>
        <v>3.1061813652937182</v>
      </c>
    </row>
    <row r="70" spans="1:12" x14ac:dyDescent="0.2">
      <c r="A70">
        <v>69</v>
      </c>
      <c r="B70">
        <v>0.188</v>
      </c>
      <c r="C70">
        <v>0.19400000000000001</v>
      </c>
      <c r="J70" s="2" t="s">
        <v>15</v>
      </c>
      <c r="K70" s="2"/>
      <c r="L70" s="2"/>
    </row>
    <row r="71" spans="1:12" x14ac:dyDescent="0.2">
      <c r="A71">
        <v>70</v>
      </c>
      <c r="B71">
        <v>0.189</v>
      </c>
      <c r="C71">
        <v>0.19400000000000001</v>
      </c>
    </row>
  </sheetData>
  <sortState xmlns:xlrd2="http://schemas.microsoft.com/office/spreadsheetml/2017/richdata2" ref="C2:C71">
    <sortCondition ref="C2:C71"/>
  </sortState>
  <mergeCells count="2">
    <mergeCell ref="G62:H62"/>
    <mergeCell ref="J70:L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Arkusz1</vt:lpstr>
      <vt:lpstr>Arkusz1!dane_19</vt:lpstr>
      <vt:lpstr>Arkusz1!dane_20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Ludwiczak</dc:creator>
  <cp:lastModifiedBy>Adam Ludwiczak</cp:lastModifiedBy>
  <dcterms:created xsi:type="dcterms:W3CDTF">2021-12-19T11:19:31Z</dcterms:created>
  <dcterms:modified xsi:type="dcterms:W3CDTF">2021-12-19T13:26:07Z</dcterms:modified>
</cp:coreProperties>
</file>