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udwiczak/Projects/MPwI/Zad4/"/>
    </mc:Choice>
  </mc:AlternateContent>
  <xr:revisionPtr revIDLastSave="0" documentId="13_ncr:1_{26B1BF3C-B859-6A4E-9657-944D339C4D17}" xr6:coauthVersionLast="47" xr6:coauthVersionMax="47" xr10:uidLastSave="{00000000-0000-0000-0000-000000000000}"/>
  <bookViews>
    <workbookView xWindow="0" yWindow="0" windowWidth="33600" windowHeight="21000" xr2:uid="{1E032093-64CD-2343-9178-80AA36EA356B}"/>
  </bookViews>
  <sheets>
    <sheet name="Arkusz1" sheetId="1" r:id="rId1"/>
  </sheets>
  <definedNames>
    <definedName name="dane_19" localSheetId="0">Arkusz1!$B$2:$B$72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4" i="1" l="1"/>
  <c r="L55" i="1"/>
  <c r="I55" i="1"/>
  <c r="I5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L6" i="1"/>
  <c r="L4" i="1"/>
  <c r="L3" i="1"/>
  <c r="L2" i="1"/>
  <c r="L1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2" i="1"/>
  <c r="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4F307-4F43-304A-89C8-147E4B035F54}" name="dane_19" type="6" refreshedVersion="7" background="1" saveData="1">
    <textPr sourceFile="/Users/adamludwiczak/Projects/MPwI/dane_19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<sst xmlns="http://schemas.openxmlformats.org/spreadsheetml/2006/main" count="18" uniqueCount="16">
  <si>
    <t>Nr próbki</t>
  </si>
  <si>
    <t>Dane wejściowe</t>
  </si>
  <si>
    <t>Posortowane dane</t>
  </si>
  <si>
    <t>średnia</t>
  </si>
  <si>
    <t>mediana</t>
  </si>
  <si>
    <t>Prawdapodpbieństwo</t>
  </si>
  <si>
    <t>n</t>
  </si>
  <si>
    <t>wartośc min</t>
  </si>
  <si>
    <t>watrość max</t>
  </si>
  <si>
    <t>a</t>
  </si>
  <si>
    <t>b</t>
  </si>
  <si>
    <t xml:space="preserve"> </t>
  </si>
  <si>
    <t xml:space="preserve"> </t>
  </si>
  <si>
    <t>y(i)</t>
  </si>
  <si>
    <t>odch. Stan</t>
  </si>
  <si>
    <t>rozkład normalny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</si>
</sst>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sz val="10"/>
      <color theme="1"/>
      <name val="Symbol"/>
      <charset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prawdopodobieństwa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Arkusz1!$C$2:$C$71</c:f>
              <c:numCache>
                <c:formatCode>General</c:formatCode>
                <c:ptCount val="70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xVal>
          <c:yVal>
            <c:numRef>
              <c:f>Arkusz1!$D$2:$D$71</c:f>
              <c:numCache>
                <c:formatCode>General</c:formatCode>
                <c:ptCount val="70"/>
                <c:pt idx="0">
                  <c:v>1.4084507042253521E-2</c:v>
                </c:pt>
                <c:pt idx="1">
                  <c:v>2.8169014084507043E-2</c:v>
                </c:pt>
                <c:pt idx="2">
                  <c:v>4.2253521126760563E-2</c:v>
                </c:pt>
                <c:pt idx="3">
                  <c:v>5.6338028169014086E-2</c:v>
                </c:pt>
                <c:pt idx="4">
                  <c:v>7.0422535211267609E-2</c:v>
                </c:pt>
                <c:pt idx="5">
                  <c:v>8.4507042253521125E-2</c:v>
                </c:pt>
                <c:pt idx="6">
                  <c:v>9.8591549295774641E-2</c:v>
                </c:pt>
                <c:pt idx="7">
                  <c:v>0.11267605633802817</c:v>
                </c:pt>
                <c:pt idx="8">
                  <c:v>0.12676056338028169</c:v>
                </c:pt>
                <c:pt idx="9">
                  <c:v>0.14084507042253522</c:v>
                </c:pt>
                <c:pt idx="10">
                  <c:v>0.15492957746478872</c:v>
                </c:pt>
                <c:pt idx="11">
                  <c:v>0.16901408450704225</c:v>
                </c:pt>
                <c:pt idx="12">
                  <c:v>0.18309859154929578</c:v>
                </c:pt>
                <c:pt idx="13">
                  <c:v>0.19718309859154928</c:v>
                </c:pt>
                <c:pt idx="14">
                  <c:v>0.21126760563380281</c:v>
                </c:pt>
                <c:pt idx="15">
                  <c:v>0.22535211267605634</c:v>
                </c:pt>
                <c:pt idx="16">
                  <c:v>0.23943661971830985</c:v>
                </c:pt>
                <c:pt idx="17">
                  <c:v>0.25352112676056338</c:v>
                </c:pt>
                <c:pt idx="18">
                  <c:v>0.26760563380281688</c:v>
                </c:pt>
                <c:pt idx="19">
                  <c:v>0.28169014084507044</c:v>
                </c:pt>
                <c:pt idx="20">
                  <c:v>0.29577464788732394</c:v>
                </c:pt>
                <c:pt idx="21">
                  <c:v>0.30985915492957744</c:v>
                </c:pt>
                <c:pt idx="22">
                  <c:v>0.323943661971831</c:v>
                </c:pt>
                <c:pt idx="23">
                  <c:v>0.3380281690140845</c:v>
                </c:pt>
                <c:pt idx="24">
                  <c:v>0.352112676056338</c:v>
                </c:pt>
                <c:pt idx="25">
                  <c:v>0.36619718309859156</c:v>
                </c:pt>
                <c:pt idx="26">
                  <c:v>0.38028169014084506</c:v>
                </c:pt>
                <c:pt idx="27">
                  <c:v>0.39436619718309857</c:v>
                </c:pt>
                <c:pt idx="28">
                  <c:v>0.40845070422535212</c:v>
                </c:pt>
                <c:pt idx="29">
                  <c:v>0.42253521126760563</c:v>
                </c:pt>
                <c:pt idx="30">
                  <c:v>0.43661971830985913</c:v>
                </c:pt>
                <c:pt idx="31">
                  <c:v>0.45070422535211269</c:v>
                </c:pt>
                <c:pt idx="32">
                  <c:v>0.46478873239436619</c:v>
                </c:pt>
                <c:pt idx="33">
                  <c:v>0.47887323943661969</c:v>
                </c:pt>
                <c:pt idx="34">
                  <c:v>0.49295774647887325</c:v>
                </c:pt>
                <c:pt idx="35">
                  <c:v>0.50704225352112675</c:v>
                </c:pt>
                <c:pt idx="36">
                  <c:v>0.52112676056338025</c:v>
                </c:pt>
                <c:pt idx="37">
                  <c:v>0.53521126760563376</c:v>
                </c:pt>
                <c:pt idx="38">
                  <c:v>0.54929577464788737</c:v>
                </c:pt>
                <c:pt idx="39">
                  <c:v>0.56338028169014087</c:v>
                </c:pt>
                <c:pt idx="40">
                  <c:v>0.57746478873239437</c:v>
                </c:pt>
                <c:pt idx="41">
                  <c:v>0.59154929577464788</c:v>
                </c:pt>
                <c:pt idx="42">
                  <c:v>0.60563380281690138</c:v>
                </c:pt>
                <c:pt idx="43">
                  <c:v>0.61971830985915488</c:v>
                </c:pt>
                <c:pt idx="44">
                  <c:v>0.63380281690140849</c:v>
                </c:pt>
                <c:pt idx="45">
                  <c:v>0.647887323943662</c:v>
                </c:pt>
                <c:pt idx="46">
                  <c:v>0.6619718309859155</c:v>
                </c:pt>
                <c:pt idx="47">
                  <c:v>0.676056338028169</c:v>
                </c:pt>
                <c:pt idx="48">
                  <c:v>0.6901408450704225</c:v>
                </c:pt>
                <c:pt idx="49">
                  <c:v>0.70422535211267601</c:v>
                </c:pt>
                <c:pt idx="50">
                  <c:v>0.71830985915492962</c:v>
                </c:pt>
                <c:pt idx="51">
                  <c:v>0.73239436619718312</c:v>
                </c:pt>
                <c:pt idx="52">
                  <c:v>0.74647887323943662</c:v>
                </c:pt>
                <c:pt idx="53">
                  <c:v>0.76056338028169013</c:v>
                </c:pt>
                <c:pt idx="54">
                  <c:v>0.77464788732394363</c:v>
                </c:pt>
                <c:pt idx="55">
                  <c:v>0.78873239436619713</c:v>
                </c:pt>
                <c:pt idx="56">
                  <c:v>0.80281690140845074</c:v>
                </c:pt>
                <c:pt idx="57">
                  <c:v>0.81690140845070425</c:v>
                </c:pt>
                <c:pt idx="58">
                  <c:v>0.83098591549295775</c:v>
                </c:pt>
                <c:pt idx="59">
                  <c:v>0.84507042253521125</c:v>
                </c:pt>
                <c:pt idx="60">
                  <c:v>0.85915492957746475</c:v>
                </c:pt>
                <c:pt idx="61">
                  <c:v>0.87323943661971826</c:v>
                </c:pt>
                <c:pt idx="62">
                  <c:v>0.88732394366197187</c:v>
                </c:pt>
                <c:pt idx="63">
                  <c:v>0.90140845070422537</c:v>
                </c:pt>
                <c:pt idx="64">
                  <c:v>0.91549295774647887</c:v>
                </c:pt>
                <c:pt idx="65">
                  <c:v>0.92957746478873238</c:v>
                </c:pt>
                <c:pt idx="66">
                  <c:v>0.94366197183098588</c:v>
                </c:pt>
                <c:pt idx="67">
                  <c:v>0.95774647887323938</c:v>
                </c:pt>
                <c:pt idx="68">
                  <c:v>0.971830985915493</c:v>
                </c:pt>
                <c:pt idx="69">
                  <c:v>0.9859154929577465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3-D54E-B9E3-332DAF672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703695"/>
        <c:axId val="709719039"/>
      </c:scatterChart>
      <c:valAx>
        <c:axId val="70970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719039"/>
        <c:crosses val="autoZero"/>
        <c:crossBetween val="midCat"/>
      </c:valAx>
      <c:valAx>
        <c:axId val="70971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70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Arkusz1!$C$2:$C$71</c:f>
              <c:numCache>
                <c:formatCode>General</c:formatCode>
                <c:ptCount val="70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xVal>
          <c:yVal>
            <c:numRef>
              <c:f>Arkusz1!$E$2:$E$71</c:f>
              <c:numCache>
                <c:formatCode>General</c:formatCode>
                <c:ptCount val="70"/>
                <c:pt idx="0">
                  <c:v>-2.1949244993050545</c:v>
                </c:pt>
                <c:pt idx="1">
                  <c:v>-1.9084116818884704</c:v>
                </c:pt>
                <c:pt idx="2">
                  <c:v>-1.7251133770389839</c:v>
                </c:pt>
                <c:pt idx="3">
                  <c:v>-1.586278900914659</c:v>
                </c:pt>
                <c:pt idx="4">
                  <c:v>-1.4726513521641149</c:v>
                </c:pt>
                <c:pt idx="5">
                  <c:v>-1.375378649883463</c:v>
                </c:pt>
                <c:pt idx="6">
                  <c:v>-1.2896186457164065</c:v>
                </c:pt>
                <c:pt idx="7">
                  <c:v>-1.2124187877842669</c:v>
                </c:pt>
                <c:pt idx="8">
                  <c:v>-1.1418385701455156</c:v>
                </c:pt>
                <c:pt idx="9">
                  <c:v>-1.0765303368163031</c:v>
                </c:pt>
                <c:pt idx="10">
                  <c:v>-1.0155176132934878</c:v>
                </c:pt>
                <c:pt idx="11">
                  <c:v>-0.95806859760897212</c:v>
                </c:pt>
                <c:pt idx="12">
                  <c:v>-0.90361952751406249</c:v>
                </c:pt>
                <c:pt idx="13">
                  <c:v>-0.85172598069826733</c:v>
                </c:pt>
                <c:pt idx="14">
                  <c:v>-0.80203068030540037</c:v>
                </c:pt>
                <c:pt idx="15">
                  <c:v>-0.75424149512029026</c:v>
                </c:pt>
                <c:pt idx="16">
                  <c:v>-0.70811597574759699</c:v>
                </c:pt>
                <c:pt idx="17">
                  <c:v>-0.66345021653821168</c:v>
                </c:pt>
                <c:pt idx="18">
                  <c:v>-0.62007066011244694</c:v>
                </c:pt>
                <c:pt idx="19">
                  <c:v>-0.57782795202826553</c:v>
                </c:pt>
                <c:pt idx="20">
                  <c:v>-0.53659225410132738</c:v>
                </c:pt>
                <c:pt idx="21">
                  <c:v>-0.49624961492999059</c:v>
                </c:pt>
                <c:pt idx="22">
                  <c:v>-0.4566991193212227</c:v>
                </c:pt>
                <c:pt idx="23">
                  <c:v>-0.41785061995716238</c:v>
                </c:pt>
                <c:pt idx="24">
                  <c:v>-0.37962290989397623</c:v>
                </c:pt>
                <c:pt idx="25">
                  <c:v>-0.34194223257020145</c:v>
                </c:pt>
                <c:pt idx="26">
                  <c:v>-0.30474105269084506</c:v>
                </c:pt>
                <c:pt idx="27">
                  <c:v>-0.26795703033347462</c:v>
                </c:pt>
                <c:pt idx="28">
                  <c:v>-0.23153215429615501</c:v>
                </c:pt>
                <c:pt idx="29">
                  <c:v>-0.19541200066782957</c:v>
                </c:pt>
                <c:pt idx="30">
                  <c:v>-0.15954508992311356</c:v>
                </c:pt>
                <c:pt idx="31">
                  <c:v>-0.12388232125861309</c:v>
                </c:pt>
                <c:pt idx="32">
                  <c:v>-8.8376466903218626E-2</c:v>
                </c:pt>
                <c:pt idx="33">
                  <c:v>-5.2981712102996618E-2</c:v>
                </c:pt>
                <c:pt idx="34">
                  <c:v>-1.7653228648661298E-2</c:v>
                </c:pt>
                <c:pt idx="35">
                  <c:v>1.7653228648661298E-2</c:v>
                </c:pt>
                <c:pt idx="36">
                  <c:v>5.298171210299648E-2</c:v>
                </c:pt>
                <c:pt idx="37">
                  <c:v>8.8376466903218473E-2</c:v>
                </c:pt>
                <c:pt idx="38">
                  <c:v>0.12388232125861322</c:v>
                </c:pt>
                <c:pt idx="39">
                  <c:v>0.15954508992311356</c:v>
                </c:pt>
                <c:pt idx="40">
                  <c:v>0.19541200066782957</c:v>
                </c:pt>
                <c:pt idx="41">
                  <c:v>0.23153215429615501</c:v>
                </c:pt>
                <c:pt idx="42">
                  <c:v>0.26795703033347451</c:v>
                </c:pt>
                <c:pt idx="43">
                  <c:v>0.30474105269084489</c:v>
                </c:pt>
                <c:pt idx="44">
                  <c:v>0.34194223257020157</c:v>
                </c:pt>
                <c:pt idx="45">
                  <c:v>0.37962290989397623</c:v>
                </c:pt>
                <c:pt idx="46">
                  <c:v>0.41785061995716238</c:v>
                </c:pt>
                <c:pt idx="47">
                  <c:v>0.4566991193212227</c:v>
                </c:pt>
                <c:pt idx="48">
                  <c:v>0.49624961492999042</c:v>
                </c:pt>
                <c:pt idx="49">
                  <c:v>0.53659225410132738</c:v>
                </c:pt>
                <c:pt idx="50">
                  <c:v>0.57782795202826553</c:v>
                </c:pt>
                <c:pt idx="51">
                  <c:v>0.62007066011244694</c:v>
                </c:pt>
                <c:pt idx="52">
                  <c:v>0.66345021653821168</c:v>
                </c:pt>
                <c:pt idx="53">
                  <c:v>0.70811597574759699</c:v>
                </c:pt>
                <c:pt idx="54">
                  <c:v>0.75424149512029026</c:v>
                </c:pt>
                <c:pt idx="55">
                  <c:v>0.8020306803053997</c:v>
                </c:pt>
                <c:pt idx="56">
                  <c:v>0.85172598069826733</c:v>
                </c:pt>
                <c:pt idx="57">
                  <c:v>0.90361952751406249</c:v>
                </c:pt>
                <c:pt idx="58">
                  <c:v>0.95806859760897212</c:v>
                </c:pt>
                <c:pt idx="59">
                  <c:v>1.0155176132934878</c:v>
                </c:pt>
                <c:pt idx="60">
                  <c:v>1.0765303368163031</c:v>
                </c:pt>
                <c:pt idx="61">
                  <c:v>1.1418385701455154</c:v>
                </c:pt>
                <c:pt idx="62">
                  <c:v>1.2124187877842669</c:v>
                </c:pt>
                <c:pt idx="63">
                  <c:v>1.2896186457164065</c:v>
                </c:pt>
                <c:pt idx="64">
                  <c:v>1.375378649883463</c:v>
                </c:pt>
                <c:pt idx="65">
                  <c:v>1.4726513521641151</c:v>
                </c:pt>
                <c:pt idx="66">
                  <c:v>1.586278900914659</c:v>
                </c:pt>
                <c:pt idx="67">
                  <c:v>1.7251133770389835</c:v>
                </c:pt>
                <c:pt idx="68">
                  <c:v>1.9084116818884711</c:v>
                </c:pt>
                <c:pt idx="69">
                  <c:v>2.1949244993050558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4-2E4E-A02F-0AAA1F15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068511"/>
        <c:axId val="709637663"/>
      </c:scatterChart>
      <c:valAx>
        <c:axId val="71106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9637663"/>
        <c:crosses val="autoZero"/>
        <c:crossBetween val="midCat"/>
      </c:valAx>
      <c:valAx>
        <c:axId val="70963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106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Teoretyczna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Arkusz1!$C$2:$C$72</c:f>
              <c:numCache>
                <c:formatCode>General</c:formatCode>
                <c:ptCount val="71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xVal>
          <c:yVal>
            <c:numRef>
              <c:f>Arkusz1!$F$2:$F$72</c:f>
              <c:numCache>
                <c:formatCode>General</c:formatCode>
                <c:ptCount val="71"/>
                <c:pt idx="0">
                  <c:v>1.8909535030705509E-2</c:v>
                </c:pt>
                <c:pt idx="1">
                  <c:v>1.8909535030705509E-2</c:v>
                </c:pt>
                <c:pt idx="2">
                  <c:v>5.7569239416182652E-2</c:v>
                </c:pt>
                <c:pt idx="3">
                  <c:v>5.7569239416182652E-2</c:v>
                </c:pt>
                <c:pt idx="4">
                  <c:v>5.7569239416182652E-2</c:v>
                </c:pt>
                <c:pt idx="5">
                  <c:v>5.7569239416182652E-2</c:v>
                </c:pt>
                <c:pt idx="6">
                  <c:v>5.7569239416182652E-2</c:v>
                </c:pt>
                <c:pt idx="7">
                  <c:v>5.7569239416182652E-2</c:v>
                </c:pt>
                <c:pt idx="8">
                  <c:v>0.14136378598863047</c:v>
                </c:pt>
                <c:pt idx="9">
                  <c:v>0.14136378598863047</c:v>
                </c:pt>
                <c:pt idx="10">
                  <c:v>0.14136378598863047</c:v>
                </c:pt>
                <c:pt idx="11">
                  <c:v>0.14136378598863047</c:v>
                </c:pt>
                <c:pt idx="12">
                  <c:v>0.14136378598863047</c:v>
                </c:pt>
                <c:pt idx="13">
                  <c:v>0.14136378598863047</c:v>
                </c:pt>
                <c:pt idx="14">
                  <c:v>0.28335173680619985</c:v>
                </c:pt>
                <c:pt idx="15">
                  <c:v>0.28335173680619985</c:v>
                </c:pt>
                <c:pt idx="16">
                  <c:v>0.28335173680619985</c:v>
                </c:pt>
                <c:pt idx="17">
                  <c:v>0.28335173680619985</c:v>
                </c:pt>
                <c:pt idx="18">
                  <c:v>0.28335173680619985</c:v>
                </c:pt>
                <c:pt idx="19">
                  <c:v>0.28335173680619985</c:v>
                </c:pt>
                <c:pt idx="20">
                  <c:v>0.28335173680619985</c:v>
                </c:pt>
                <c:pt idx="21">
                  <c:v>0.28335173680619985</c:v>
                </c:pt>
                <c:pt idx="22">
                  <c:v>0.28335173680619985</c:v>
                </c:pt>
                <c:pt idx="23">
                  <c:v>0.28335173680619985</c:v>
                </c:pt>
                <c:pt idx="24">
                  <c:v>0.28335173680619985</c:v>
                </c:pt>
                <c:pt idx="25">
                  <c:v>0.28335173680619985</c:v>
                </c:pt>
                <c:pt idx="26">
                  <c:v>0.47145448997660838</c:v>
                </c:pt>
                <c:pt idx="27">
                  <c:v>0.47145448997660838</c:v>
                </c:pt>
                <c:pt idx="28">
                  <c:v>0.47145448997660838</c:v>
                </c:pt>
                <c:pt idx="29">
                  <c:v>0.47145448997660838</c:v>
                </c:pt>
                <c:pt idx="30">
                  <c:v>0.47145448997660838</c:v>
                </c:pt>
                <c:pt idx="31">
                  <c:v>0.47145448997660838</c:v>
                </c:pt>
                <c:pt idx="32">
                  <c:v>0.47145448997660838</c:v>
                </c:pt>
                <c:pt idx="33">
                  <c:v>0.47145448997660838</c:v>
                </c:pt>
                <c:pt idx="34">
                  <c:v>0.47145448997660838</c:v>
                </c:pt>
                <c:pt idx="35">
                  <c:v>0.47145448997660838</c:v>
                </c:pt>
                <c:pt idx="36">
                  <c:v>0.47145448997660838</c:v>
                </c:pt>
                <c:pt idx="37">
                  <c:v>0.47145448997660838</c:v>
                </c:pt>
                <c:pt idx="38">
                  <c:v>0.47145448997660838</c:v>
                </c:pt>
                <c:pt idx="39">
                  <c:v>0.47145448997660838</c:v>
                </c:pt>
                <c:pt idx="40">
                  <c:v>0.66628756264928668</c:v>
                </c:pt>
                <c:pt idx="41">
                  <c:v>0.66628756264928668</c:v>
                </c:pt>
                <c:pt idx="42">
                  <c:v>0.66628756264928668</c:v>
                </c:pt>
                <c:pt idx="43">
                  <c:v>0.66628756264928668</c:v>
                </c:pt>
                <c:pt idx="44">
                  <c:v>0.66628756264928668</c:v>
                </c:pt>
                <c:pt idx="45">
                  <c:v>0.66628756264928668</c:v>
                </c:pt>
                <c:pt idx="46">
                  <c:v>0.66628756264928668</c:v>
                </c:pt>
                <c:pt idx="47">
                  <c:v>0.66628756264928668</c:v>
                </c:pt>
                <c:pt idx="48">
                  <c:v>0.66628756264928668</c:v>
                </c:pt>
                <c:pt idx="49">
                  <c:v>0.66628756264928668</c:v>
                </c:pt>
                <c:pt idx="50">
                  <c:v>0.66628756264928668</c:v>
                </c:pt>
                <c:pt idx="51">
                  <c:v>0.66628756264928668</c:v>
                </c:pt>
                <c:pt idx="52">
                  <c:v>0.66628756264928668</c:v>
                </c:pt>
                <c:pt idx="53">
                  <c:v>0.82406906234610811</c:v>
                </c:pt>
                <c:pt idx="54">
                  <c:v>0.82406906234610811</c:v>
                </c:pt>
                <c:pt idx="55">
                  <c:v>0.82406906234610811</c:v>
                </c:pt>
                <c:pt idx="56">
                  <c:v>0.82406906234610811</c:v>
                </c:pt>
                <c:pt idx="57">
                  <c:v>0.82406906234610811</c:v>
                </c:pt>
                <c:pt idx="58">
                  <c:v>0.82406906234610811</c:v>
                </c:pt>
                <c:pt idx="59">
                  <c:v>0.82406906234610811</c:v>
                </c:pt>
                <c:pt idx="60">
                  <c:v>0.82406906234610811</c:v>
                </c:pt>
                <c:pt idx="61">
                  <c:v>0.92396857314073522</c:v>
                </c:pt>
                <c:pt idx="62">
                  <c:v>0.92396857314073522</c:v>
                </c:pt>
                <c:pt idx="63">
                  <c:v>0.92396857314073522</c:v>
                </c:pt>
                <c:pt idx="64">
                  <c:v>0.92396857314073522</c:v>
                </c:pt>
                <c:pt idx="65">
                  <c:v>0.92396857314073522</c:v>
                </c:pt>
                <c:pt idx="66">
                  <c:v>0.97341772984419561</c:v>
                </c:pt>
                <c:pt idx="67">
                  <c:v>0.97341772984419561</c:v>
                </c:pt>
                <c:pt idx="68">
                  <c:v>0.97341772984419561</c:v>
                </c:pt>
                <c:pt idx="69">
                  <c:v>0.97341772984419561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E0-3E48-97D9-58C632C79A16}"/>
            </c:ext>
          </c:extLst>
        </c:ser>
        <c:ser>
          <c:idx val="1"/>
          <c:order val="1"/>
          <c:tx>
            <c:v>Empiryczna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3E0-3E48-97D9-58C632C79A16}"/>
              </c:ext>
            </c:extLst>
          </c:dPt>
          <c:xVal>
            <c:numRef>
              <c:f>Arkusz1!$C$2:$C$71</c:f>
              <c:numCache>
                <c:formatCode>General</c:formatCode>
                <c:ptCount val="70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xVal>
          <c:yVal>
            <c:numRef>
              <c:f>Arkusz1!$D$2:$D$71</c:f>
              <c:numCache>
                <c:formatCode>General</c:formatCode>
                <c:ptCount val="70"/>
                <c:pt idx="0">
                  <c:v>1.4084507042253521E-2</c:v>
                </c:pt>
                <c:pt idx="1">
                  <c:v>2.8169014084507043E-2</c:v>
                </c:pt>
                <c:pt idx="2">
                  <c:v>4.2253521126760563E-2</c:v>
                </c:pt>
                <c:pt idx="3">
                  <c:v>5.6338028169014086E-2</c:v>
                </c:pt>
                <c:pt idx="4">
                  <c:v>7.0422535211267609E-2</c:v>
                </c:pt>
                <c:pt idx="5">
                  <c:v>8.4507042253521125E-2</c:v>
                </c:pt>
                <c:pt idx="6">
                  <c:v>9.8591549295774641E-2</c:v>
                </c:pt>
                <c:pt idx="7">
                  <c:v>0.11267605633802817</c:v>
                </c:pt>
                <c:pt idx="8">
                  <c:v>0.12676056338028169</c:v>
                </c:pt>
                <c:pt idx="9">
                  <c:v>0.14084507042253522</c:v>
                </c:pt>
                <c:pt idx="10">
                  <c:v>0.15492957746478872</c:v>
                </c:pt>
                <c:pt idx="11">
                  <c:v>0.16901408450704225</c:v>
                </c:pt>
                <c:pt idx="12">
                  <c:v>0.18309859154929578</c:v>
                </c:pt>
                <c:pt idx="13">
                  <c:v>0.19718309859154928</c:v>
                </c:pt>
                <c:pt idx="14">
                  <c:v>0.21126760563380281</c:v>
                </c:pt>
                <c:pt idx="15">
                  <c:v>0.22535211267605634</c:v>
                </c:pt>
                <c:pt idx="16">
                  <c:v>0.23943661971830985</c:v>
                </c:pt>
                <c:pt idx="17">
                  <c:v>0.25352112676056338</c:v>
                </c:pt>
                <c:pt idx="18">
                  <c:v>0.26760563380281688</c:v>
                </c:pt>
                <c:pt idx="19">
                  <c:v>0.28169014084507044</c:v>
                </c:pt>
                <c:pt idx="20">
                  <c:v>0.29577464788732394</c:v>
                </c:pt>
                <c:pt idx="21">
                  <c:v>0.30985915492957744</c:v>
                </c:pt>
                <c:pt idx="22">
                  <c:v>0.323943661971831</c:v>
                </c:pt>
                <c:pt idx="23">
                  <c:v>0.3380281690140845</c:v>
                </c:pt>
                <c:pt idx="24">
                  <c:v>0.352112676056338</c:v>
                </c:pt>
                <c:pt idx="25">
                  <c:v>0.36619718309859156</c:v>
                </c:pt>
                <c:pt idx="26">
                  <c:v>0.38028169014084506</c:v>
                </c:pt>
                <c:pt idx="27">
                  <c:v>0.39436619718309857</c:v>
                </c:pt>
                <c:pt idx="28">
                  <c:v>0.40845070422535212</c:v>
                </c:pt>
                <c:pt idx="29">
                  <c:v>0.42253521126760563</c:v>
                </c:pt>
                <c:pt idx="30">
                  <c:v>0.43661971830985913</c:v>
                </c:pt>
                <c:pt idx="31">
                  <c:v>0.45070422535211269</c:v>
                </c:pt>
                <c:pt idx="32">
                  <c:v>0.46478873239436619</c:v>
                </c:pt>
                <c:pt idx="33">
                  <c:v>0.47887323943661969</c:v>
                </c:pt>
                <c:pt idx="34">
                  <c:v>0.49295774647887325</c:v>
                </c:pt>
                <c:pt idx="35">
                  <c:v>0.50704225352112675</c:v>
                </c:pt>
                <c:pt idx="36">
                  <c:v>0.52112676056338025</c:v>
                </c:pt>
                <c:pt idx="37">
                  <c:v>0.53521126760563376</c:v>
                </c:pt>
                <c:pt idx="38">
                  <c:v>0.54929577464788737</c:v>
                </c:pt>
                <c:pt idx="39">
                  <c:v>0.56338028169014087</c:v>
                </c:pt>
                <c:pt idx="40">
                  <c:v>0.57746478873239437</c:v>
                </c:pt>
                <c:pt idx="41">
                  <c:v>0.59154929577464788</c:v>
                </c:pt>
                <c:pt idx="42">
                  <c:v>0.60563380281690138</c:v>
                </c:pt>
                <c:pt idx="43">
                  <c:v>0.61971830985915488</c:v>
                </c:pt>
                <c:pt idx="44">
                  <c:v>0.63380281690140849</c:v>
                </c:pt>
                <c:pt idx="45">
                  <c:v>0.647887323943662</c:v>
                </c:pt>
                <c:pt idx="46">
                  <c:v>0.6619718309859155</c:v>
                </c:pt>
                <c:pt idx="47">
                  <c:v>0.676056338028169</c:v>
                </c:pt>
                <c:pt idx="48">
                  <c:v>0.6901408450704225</c:v>
                </c:pt>
                <c:pt idx="49">
                  <c:v>0.70422535211267601</c:v>
                </c:pt>
                <c:pt idx="50">
                  <c:v>0.71830985915492962</c:v>
                </c:pt>
                <c:pt idx="51">
                  <c:v>0.73239436619718312</c:v>
                </c:pt>
                <c:pt idx="52">
                  <c:v>0.74647887323943662</c:v>
                </c:pt>
                <c:pt idx="53">
                  <c:v>0.76056338028169013</c:v>
                </c:pt>
                <c:pt idx="54">
                  <c:v>0.77464788732394363</c:v>
                </c:pt>
                <c:pt idx="55">
                  <c:v>0.78873239436619713</c:v>
                </c:pt>
                <c:pt idx="56">
                  <c:v>0.80281690140845074</c:v>
                </c:pt>
                <c:pt idx="57">
                  <c:v>0.81690140845070425</c:v>
                </c:pt>
                <c:pt idx="58">
                  <c:v>0.83098591549295775</c:v>
                </c:pt>
                <c:pt idx="59">
                  <c:v>0.84507042253521125</c:v>
                </c:pt>
                <c:pt idx="60">
                  <c:v>0.85915492957746475</c:v>
                </c:pt>
                <c:pt idx="61">
                  <c:v>0.87323943661971826</c:v>
                </c:pt>
                <c:pt idx="62">
                  <c:v>0.88732394366197187</c:v>
                </c:pt>
                <c:pt idx="63">
                  <c:v>0.90140845070422537</c:v>
                </c:pt>
                <c:pt idx="64">
                  <c:v>0.91549295774647887</c:v>
                </c:pt>
                <c:pt idx="65">
                  <c:v>0.92957746478873238</c:v>
                </c:pt>
                <c:pt idx="66">
                  <c:v>0.94366197183098588</c:v>
                </c:pt>
                <c:pt idx="67">
                  <c:v>0.95774647887323938</c:v>
                </c:pt>
                <c:pt idx="68">
                  <c:v>0.971830985915493</c:v>
                </c:pt>
                <c:pt idx="69">
                  <c:v>0.9859154929577465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E0-3E48-97D9-58C632C79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974319"/>
        <c:axId val="731155999"/>
      </c:scatterChart>
      <c:valAx>
        <c:axId val="71497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1155999"/>
        <c:crosses val="autoZero"/>
        <c:crossBetween val="midCat"/>
      </c:valAx>
      <c:valAx>
        <c:axId val="7311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Prawdopodobieństwo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497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7455</xdr:colOff>
      <xdr:row>8</xdr:row>
      <xdr:rowOff>8104</xdr:rowOff>
    </xdr:from>
    <xdr:to>
      <xdr:col>14</xdr:col>
      <xdr:colOff>811389</xdr:colOff>
      <xdr:row>25</xdr:row>
      <xdr:rowOff>199907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E1E7D30-204B-CE4D-BD8F-A3822F4CF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1174</xdr:colOff>
      <xdr:row>26</xdr:row>
      <xdr:rowOff>198260</xdr:rowOff>
    </xdr:from>
    <xdr:to>
      <xdr:col>15</xdr:col>
      <xdr:colOff>11758</xdr:colOff>
      <xdr:row>47</xdr:row>
      <xdr:rowOff>23519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F99F8E4-DD0C-A44E-9686-9DE66CF72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819304</xdr:colOff>
      <xdr:row>56</xdr:row>
      <xdr:rowOff>184924</xdr:rowOff>
    </xdr:from>
    <xdr:to>
      <xdr:col>15</xdr:col>
      <xdr:colOff>604024</xdr:colOff>
      <xdr:row>81</xdr:row>
      <xdr:rowOff>77438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7597E509-DF06-274C-A1C8-A15BF8CA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_19" connectionId="1" xr16:uid="{DCFC58BA-0003-1B4F-ACF9-F5C0425873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94DE-8A5B-B94E-B842-35A8EFA49D1A}">
  <dimension ref="A1:L71"/>
  <sheetViews>
    <sheetView tabSelected="1" zoomScale="169" workbookViewId="0">
      <selection activeCell="M87" sqref="M87"/>
    </sheetView>
  </sheetViews>
  <sheetFormatPr baseColWidth="10" defaultRowHeight="16" x14ac:dyDescent="0.2"/>
  <cols>
    <col min="2" max="2" width="14.33203125" bestFit="1" customWidth="1"/>
    <col min="3" max="3" width="16.5" bestFit="1" customWidth="1"/>
    <col min="4" max="4" width="19.1640625" bestFit="1" customWidth="1"/>
    <col min="5" max="5" width="13.6640625" bestFit="1" customWidth="1"/>
    <col min="6" max="6" width="15.33203125" bestFit="1" customWidth="1"/>
    <col min="11" max="11" width="11.5" bestFit="1" customWidth="1"/>
  </cols>
  <sheetData>
    <row r="1" spans="1:12" x14ac:dyDescent="0.2">
      <c r="A1" s="10" t="s">
        <v>0</v>
      </c>
      <c r="B1" s="13" t="s">
        <v>1</v>
      </c>
      <c r="C1" s="13" t="s">
        <v>2</v>
      </c>
      <c r="D1" s="13" t="s">
        <v>5</v>
      </c>
      <c r="E1" s="13" t="s">
        <v>13</v>
      </c>
      <c r="F1" s="14" t="s">
        <v>15</v>
      </c>
      <c r="K1" s="10" t="s">
        <v>3</v>
      </c>
      <c r="L1" s="18">
        <f>AVERAGE(B2:B71)</f>
        <v>0.1901428571428572</v>
      </c>
    </row>
    <row r="2" spans="1:12" x14ac:dyDescent="0.2">
      <c r="A2" s="15">
        <v>1</v>
      </c>
      <c r="B2" s="2">
        <v>0.19400000000000001</v>
      </c>
      <c r="C2" s="2">
        <v>0.186</v>
      </c>
      <c r="D2" s="1">
        <f>A2/(1+$L$5)</f>
        <v>1.4084507042253521E-2</v>
      </c>
      <c r="E2" s="1">
        <f>NORMINV(D2,0,1)</f>
        <v>-2.1949244993050545</v>
      </c>
      <c r="F2" s="6">
        <f>NORMDIST(C2,$L$1,$L$6,TRUE)</f>
        <v>1.8909535030705509E-2</v>
      </c>
      <c r="K2" s="15" t="s">
        <v>4</v>
      </c>
      <c r="L2" s="19">
        <f>MEDIAN(B2:B71)</f>
        <v>0.19</v>
      </c>
    </row>
    <row r="3" spans="1:12" x14ac:dyDescent="0.2">
      <c r="A3" s="15">
        <v>2</v>
      </c>
      <c r="B3" s="2">
        <v>0.193</v>
      </c>
      <c r="C3" s="2">
        <v>0.186</v>
      </c>
      <c r="D3" s="1">
        <f t="shared" ref="D3:D66" si="0">A3/(1+$L$5)</f>
        <v>2.8169014084507043E-2</v>
      </c>
      <c r="E3" s="1">
        <f t="shared" ref="E3:E66" si="1">NORMINV(D3,0,1)</f>
        <v>-1.9084116818884704</v>
      </c>
      <c r="F3" s="6">
        <f t="shared" ref="F3:F66" si="2">NORMDIST(C3,$L$1,$L$6,TRUE)</f>
        <v>1.8909535030705509E-2</v>
      </c>
      <c r="K3" s="15" t="s">
        <v>7</v>
      </c>
      <c r="L3" s="19">
        <f>MIN(B2:B71)</f>
        <v>0.186</v>
      </c>
    </row>
    <row r="4" spans="1:12" x14ac:dyDescent="0.2">
      <c r="A4" s="15">
        <v>3</v>
      </c>
      <c r="B4" s="2">
        <v>0.19400000000000001</v>
      </c>
      <c r="C4" s="2">
        <v>0.187</v>
      </c>
      <c r="D4" s="1">
        <f t="shared" si="0"/>
        <v>4.2253521126760563E-2</v>
      </c>
      <c r="E4" s="1">
        <f t="shared" si="1"/>
        <v>-1.7251133770389839</v>
      </c>
      <c r="F4" s="6">
        <f t="shared" si="2"/>
        <v>5.7569239416182652E-2</v>
      </c>
      <c r="K4" s="15" t="s">
        <v>8</v>
      </c>
      <c r="L4" s="19">
        <f>MAX(B2:B71)</f>
        <v>0.19400000000000001</v>
      </c>
    </row>
    <row r="5" spans="1:12" x14ac:dyDescent="0.2">
      <c r="A5" s="15">
        <v>4</v>
      </c>
      <c r="B5" s="2">
        <v>0.188</v>
      </c>
      <c r="C5" s="2">
        <v>0.187</v>
      </c>
      <c r="D5" s="1">
        <f t="shared" si="0"/>
        <v>5.6338028169014086E-2</v>
      </c>
      <c r="E5" s="1">
        <f t="shared" si="1"/>
        <v>-1.586278900914659</v>
      </c>
      <c r="F5" s="6">
        <f t="shared" si="2"/>
        <v>5.7569239416182652E-2</v>
      </c>
      <c r="K5" s="15" t="s">
        <v>6</v>
      </c>
      <c r="L5" s="19">
        <v>70</v>
      </c>
    </row>
    <row r="6" spans="1:12" ht="17" thickBot="1" x14ac:dyDescent="0.25">
      <c r="A6" s="15">
        <v>5</v>
      </c>
      <c r="B6" s="2">
        <v>0.19</v>
      </c>
      <c r="C6" s="2">
        <v>0.187</v>
      </c>
      <c r="D6" s="1">
        <f t="shared" si="0"/>
        <v>7.0422535211267609E-2</v>
      </c>
      <c r="E6" s="1">
        <f t="shared" si="1"/>
        <v>-1.4726513521641149</v>
      </c>
      <c r="F6" s="6">
        <f t="shared" si="2"/>
        <v>5.7569239416182652E-2</v>
      </c>
      <c r="K6" s="11" t="s">
        <v>14</v>
      </c>
      <c r="L6" s="9">
        <f>STDEV(B2:B71)</f>
        <v>1.9948173014721414E-3</v>
      </c>
    </row>
    <row r="7" spans="1:12" x14ac:dyDescent="0.2">
      <c r="A7" s="15">
        <v>6</v>
      </c>
      <c r="B7" s="2">
        <v>0.192</v>
      </c>
      <c r="C7" s="2">
        <v>0.187</v>
      </c>
      <c r="D7" s="1">
        <f t="shared" si="0"/>
        <v>8.4507042253521125E-2</v>
      </c>
      <c r="E7" s="1">
        <f t="shared" si="1"/>
        <v>-1.375378649883463</v>
      </c>
      <c r="F7" s="6">
        <f t="shared" si="2"/>
        <v>5.7569239416182652E-2</v>
      </c>
    </row>
    <row r="8" spans="1:12" x14ac:dyDescent="0.2">
      <c r="A8" s="15">
        <v>7</v>
      </c>
      <c r="B8" s="2">
        <v>0.19</v>
      </c>
      <c r="C8" s="2">
        <v>0.187</v>
      </c>
      <c r="D8" s="1">
        <f t="shared" si="0"/>
        <v>9.8591549295774641E-2</v>
      </c>
      <c r="E8" s="1">
        <f t="shared" si="1"/>
        <v>-1.2896186457164065</v>
      </c>
      <c r="F8" s="6">
        <f t="shared" si="2"/>
        <v>5.7569239416182652E-2</v>
      </c>
    </row>
    <row r="9" spans="1:12" x14ac:dyDescent="0.2">
      <c r="A9" s="15">
        <v>8</v>
      </c>
      <c r="B9" s="2">
        <v>0.189</v>
      </c>
      <c r="C9" s="2">
        <v>0.187</v>
      </c>
      <c r="D9" s="1">
        <f t="shared" si="0"/>
        <v>0.11267605633802817</v>
      </c>
      <c r="E9" s="1">
        <f t="shared" si="1"/>
        <v>-1.2124187877842669</v>
      </c>
      <c r="F9" s="6">
        <f t="shared" si="2"/>
        <v>5.7569239416182652E-2</v>
      </c>
    </row>
    <row r="10" spans="1:12" x14ac:dyDescent="0.2">
      <c r="A10" s="15">
        <v>9</v>
      </c>
      <c r="B10" s="2">
        <v>0.19</v>
      </c>
      <c r="C10" s="2">
        <v>0.188</v>
      </c>
      <c r="D10" s="1">
        <f t="shared" si="0"/>
        <v>0.12676056338028169</v>
      </c>
      <c r="E10" s="1">
        <f t="shared" si="1"/>
        <v>-1.1418385701455156</v>
      </c>
      <c r="F10" s="6">
        <f t="shared" si="2"/>
        <v>0.14136378598863047</v>
      </c>
    </row>
    <row r="11" spans="1:12" x14ac:dyDescent="0.2">
      <c r="A11" s="15">
        <v>10</v>
      </c>
      <c r="B11" s="2">
        <v>0.192</v>
      </c>
      <c r="C11" s="2">
        <v>0.188</v>
      </c>
      <c r="D11" s="1">
        <f t="shared" si="0"/>
        <v>0.14084507042253522</v>
      </c>
      <c r="E11" s="1">
        <f t="shared" si="1"/>
        <v>-1.0765303368163031</v>
      </c>
      <c r="F11" s="6">
        <f t="shared" si="2"/>
        <v>0.14136378598863047</v>
      </c>
    </row>
    <row r="12" spans="1:12" x14ac:dyDescent="0.2">
      <c r="A12" s="15">
        <v>11</v>
      </c>
      <c r="B12" s="2">
        <v>0.192</v>
      </c>
      <c r="C12" s="2">
        <v>0.188</v>
      </c>
      <c r="D12" s="1">
        <f t="shared" si="0"/>
        <v>0.15492957746478872</v>
      </c>
      <c r="E12" s="1">
        <f t="shared" si="1"/>
        <v>-1.0155176132934878</v>
      </c>
      <c r="F12" s="6">
        <f t="shared" si="2"/>
        <v>0.14136378598863047</v>
      </c>
    </row>
    <row r="13" spans="1:12" x14ac:dyDescent="0.2">
      <c r="A13" s="15">
        <v>12</v>
      </c>
      <c r="B13" s="2">
        <v>0.19</v>
      </c>
      <c r="C13" s="2">
        <v>0.188</v>
      </c>
      <c r="D13" s="1">
        <f t="shared" si="0"/>
        <v>0.16901408450704225</v>
      </c>
      <c r="E13" s="1">
        <f t="shared" si="1"/>
        <v>-0.95806859760897212</v>
      </c>
      <c r="F13" s="6">
        <f t="shared" si="2"/>
        <v>0.14136378598863047</v>
      </c>
    </row>
    <row r="14" spans="1:12" x14ac:dyDescent="0.2">
      <c r="A14" s="15">
        <v>13</v>
      </c>
      <c r="B14" s="2">
        <v>0.193</v>
      </c>
      <c r="C14" s="2">
        <v>0.188</v>
      </c>
      <c r="D14" s="1">
        <f t="shared" si="0"/>
        <v>0.18309859154929578</v>
      </c>
      <c r="E14" s="1">
        <f t="shared" si="1"/>
        <v>-0.90361952751406249</v>
      </c>
      <c r="F14" s="6">
        <f t="shared" si="2"/>
        <v>0.14136378598863047</v>
      </c>
    </row>
    <row r="15" spans="1:12" x14ac:dyDescent="0.2">
      <c r="A15" s="15">
        <v>14</v>
      </c>
      <c r="B15" s="2">
        <v>0.189</v>
      </c>
      <c r="C15" s="2">
        <v>0.188</v>
      </c>
      <c r="D15" s="1">
        <f t="shared" si="0"/>
        <v>0.19718309859154928</v>
      </c>
      <c r="E15" s="1">
        <f t="shared" si="1"/>
        <v>-0.85172598069826733</v>
      </c>
      <c r="F15" s="6">
        <f t="shared" si="2"/>
        <v>0.14136378598863047</v>
      </c>
    </row>
    <row r="16" spans="1:12" x14ac:dyDescent="0.2">
      <c r="A16" s="15">
        <v>15</v>
      </c>
      <c r="B16" s="2">
        <v>0.191</v>
      </c>
      <c r="C16" s="2">
        <v>0.189</v>
      </c>
      <c r="D16" s="1">
        <f t="shared" si="0"/>
        <v>0.21126760563380281</v>
      </c>
      <c r="E16" s="1">
        <f t="shared" si="1"/>
        <v>-0.80203068030540037</v>
      </c>
      <c r="F16" s="6">
        <f t="shared" si="2"/>
        <v>0.28335173680619985</v>
      </c>
    </row>
    <row r="17" spans="1:6" x14ac:dyDescent="0.2">
      <c r="A17" s="15">
        <v>16</v>
      </c>
      <c r="B17" s="2">
        <v>0.19400000000000001</v>
      </c>
      <c r="C17" s="2">
        <v>0.189</v>
      </c>
      <c r="D17" s="1">
        <f t="shared" si="0"/>
        <v>0.22535211267605634</v>
      </c>
      <c r="E17" s="1">
        <f t="shared" si="1"/>
        <v>-0.75424149512029026</v>
      </c>
      <c r="F17" s="6">
        <f t="shared" si="2"/>
        <v>0.28335173680619985</v>
      </c>
    </row>
    <row r="18" spans="1:6" x14ac:dyDescent="0.2">
      <c r="A18" s="15">
        <v>17</v>
      </c>
      <c r="B18" s="2">
        <v>0.191</v>
      </c>
      <c r="C18" s="2">
        <v>0.189</v>
      </c>
      <c r="D18" s="1">
        <f t="shared" si="0"/>
        <v>0.23943661971830985</v>
      </c>
      <c r="E18" s="1">
        <f t="shared" si="1"/>
        <v>-0.70811597574759699</v>
      </c>
      <c r="F18" s="6">
        <f t="shared" si="2"/>
        <v>0.28335173680619985</v>
      </c>
    </row>
    <row r="19" spans="1:6" x14ac:dyDescent="0.2">
      <c r="A19" s="15">
        <v>18</v>
      </c>
      <c r="B19" s="2">
        <v>0.189</v>
      </c>
      <c r="C19" s="2">
        <v>0.189</v>
      </c>
      <c r="D19" s="1">
        <f t="shared" si="0"/>
        <v>0.25352112676056338</v>
      </c>
      <c r="E19" s="1">
        <f t="shared" si="1"/>
        <v>-0.66345021653821168</v>
      </c>
      <c r="F19" s="6">
        <f t="shared" si="2"/>
        <v>0.28335173680619985</v>
      </c>
    </row>
    <row r="20" spans="1:6" x14ac:dyDescent="0.2">
      <c r="A20" s="15">
        <v>19</v>
      </c>
      <c r="B20" s="2">
        <v>0.19</v>
      </c>
      <c r="C20" s="2">
        <v>0.189</v>
      </c>
      <c r="D20" s="1">
        <f t="shared" si="0"/>
        <v>0.26760563380281688</v>
      </c>
      <c r="E20" s="1">
        <f t="shared" si="1"/>
        <v>-0.62007066011244694</v>
      </c>
      <c r="F20" s="6">
        <f t="shared" si="2"/>
        <v>0.28335173680619985</v>
      </c>
    </row>
    <row r="21" spans="1:6" x14ac:dyDescent="0.2">
      <c r="A21" s="15">
        <v>20</v>
      </c>
      <c r="B21" s="2">
        <v>0.188</v>
      </c>
      <c r="C21" s="2">
        <v>0.189</v>
      </c>
      <c r="D21" s="1">
        <f t="shared" si="0"/>
        <v>0.28169014084507044</v>
      </c>
      <c r="E21" s="1">
        <f t="shared" si="1"/>
        <v>-0.57782795202826553</v>
      </c>
      <c r="F21" s="6">
        <f t="shared" si="2"/>
        <v>0.28335173680619985</v>
      </c>
    </row>
    <row r="22" spans="1:6" x14ac:dyDescent="0.2">
      <c r="A22" s="15">
        <v>21</v>
      </c>
      <c r="B22" s="2">
        <v>0.191</v>
      </c>
      <c r="C22" s="2">
        <v>0.189</v>
      </c>
      <c r="D22" s="1">
        <f t="shared" si="0"/>
        <v>0.29577464788732394</v>
      </c>
      <c r="E22" s="1">
        <f t="shared" si="1"/>
        <v>-0.53659225410132738</v>
      </c>
      <c r="F22" s="6">
        <f t="shared" si="2"/>
        <v>0.28335173680619985</v>
      </c>
    </row>
    <row r="23" spans="1:6" x14ac:dyDescent="0.2">
      <c r="A23" s="15">
        <v>22</v>
      </c>
      <c r="B23" s="2">
        <v>0.192</v>
      </c>
      <c r="C23" s="2">
        <v>0.189</v>
      </c>
      <c r="D23" s="1">
        <f t="shared" si="0"/>
        <v>0.30985915492957744</v>
      </c>
      <c r="E23" s="1">
        <f t="shared" si="1"/>
        <v>-0.49624961492999059</v>
      </c>
      <c r="F23" s="6">
        <f t="shared" si="2"/>
        <v>0.28335173680619985</v>
      </c>
    </row>
    <row r="24" spans="1:6" x14ac:dyDescent="0.2">
      <c r="A24" s="15">
        <v>23</v>
      </c>
      <c r="B24" s="2">
        <v>0.191</v>
      </c>
      <c r="C24" s="2">
        <v>0.189</v>
      </c>
      <c r="D24" s="1">
        <f t="shared" si="0"/>
        <v>0.323943661971831</v>
      </c>
      <c r="E24" s="1">
        <f t="shared" si="1"/>
        <v>-0.4566991193212227</v>
      </c>
      <c r="F24" s="6">
        <f t="shared" si="2"/>
        <v>0.28335173680619985</v>
      </c>
    </row>
    <row r="25" spans="1:6" x14ac:dyDescent="0.2">
      <c r="A25" s="15">
        <v>24</v>
      </c>
      <c r="B25" s="2">
        <v>0.19</v>
      </c>
      <c r="C25" s="2">
        <v>0.189</v>
      </c>
      <c r="D25" s="1">
        <f t="shared" si="0"/>
        <v>0.3380281690140845</v>
      </c>
      <c r="E25" s="1">
        <f t="shared" si="1"/>
        <v>-0.41785061995716238</v>
      </c>
      <c r="F25" s="6">
        <f t="shared" si="2"/>
        <v>0.28335173680619985</v>
      </c>
    </row>
    <row r="26" spans="1:6" x14ac:dyDescent="0.2">
      <c r="A26" s="15">
        <v>25</v>
      </c>
      <c r="B26" s="2">
        <v>0.188</v>
      </c>
      <c r="C26" s="2">
        <v>0.189</v>
      </c>
      <c r="D26" s="1">
        <f t="shared" si="0"/>
        <v>0.352112676056338</v>
      </c>
      <c r="E26" s="1">
        <f t="shared" si="1"/>
        <v>-0.37962290989397623</v>
      </c>
      <c r="F26" s="6">
        <f t="shared" si="2"/>
        <v>0.28335173680619985</v>
      </c>
    </row>
    <row r="27" spans="1:6" x14ac:dyDescent="0.2">
      <c r="A27" s="15">
        <v>26</v>
      </c>
      <c r="B27" s="2">
        <v>0.187</v>
      </c>
      <c r="C27" s="2">
        <v>0.189</v>
      </c>
      <c r="D27" s="1">
        <f t="shared" si="0"/>
        <v>0.36619718309859156</v>
      </c>
      <c r="E27" s="1">
        <f t="shared" si="1"/>
        <v>-0.34194223257020145</v>
      </c>
      <c r="F27" s="6">
        <f t="shared" si="2"/>
        <v>0.28335173680619985</v>
      </c>
    </row>
    <row r="28" spans="1:6" x14ac:dyDescent="0.2">
      <c r="A28" s="15">
        <v>27</v>
      </c>
      <c r="B28" s="2">
        <v>0.186</v>
      </c>
      <c r="C28" s="2">
        <v>0.19</v>
      </c>
      <c r="D28" s="1">
        <f t="shared" si="0"/>
        <v>0.38028169014084506</v>
      </c>
      <c r="E28" s="1">
        <f t="shared" si="1"/>
        <v>-0.30474105269084506</v>
      </c>
      <c r="F28" s="6">
        <f t="shared" si="2"/>
        <v>0.47145448997660838</v>
      </c>
    </row>
    <row r="29" spans="1:6" x14ac:dyDescent="0.2">
      <c r="A29" s="15">
        <v>28</v>
      </c>
      <c r="B29" s="2">
        <v>0.189</v>
      </c>
      <c r="C29" s="2">
        <v>0.19</v>
      </c>
      <c r="D29" s="1">
        <f t="shared" si="0"/>
        <v>0.39436619718309857</v>
      </c>
      <c r="E29" s="1">
        <f t="shared" si="1"/>
        <v>-0.26795703033347462</v>
      </c>
      <c r="F29" s="6">
        <f t="shared" si="2"/>
        <v>0.47145448997660838</v>
      </c>
    </row>
    <row r="30" spans="1:6" x14ac:dyDescent="0.2">
      <c r="A30" s="15">
        <v>29</v>
      </c>
      <c r="B30" s="2">
        <v>0.188</v>
      </c>
      <c r="C30" s="2">
        <v>0.19</v>
      </c>
      <c r="D30" s="1">
        <f t="shared" si="0"/>
        <v>0.40845070422535212</v>
      </c>
      <c r="E30" s="1">
        <f t="shared" si="1"/>
        <v>-0.23153215429615501</v>
      </c>
      <c r="F30" s="6">
        <f t="shared" si="2"/>
        <v>0.47145448997660838</v>
      </c>
    </row>
    <row r="31" spans="1:6" x14ac:dyDescent="0.2">
      <c r="A31" s="15">
        <v>30</v>
      </c>
      <c r="B31" s="2">
        <v>0.191</v>
      </c>
      <c r="C31" s="2">
        <v>0.19</v>
      </c>
      <c r="D31" s="1">
        <f t="shared" si="0"/>
        <v>0.42253521126760563</v>
      </c>
      <c r="E31" s="1">
        <f t="shared" si="1"/>
        <v>-0.19541200066782957</v>
      </c>
      <c r="F31" s="6">
        <f t="shared" si="2"/>
        <v>0.47145448997660838</v>
      </c>
    </row>
    <row r="32" spans="1:6" x14ac:dyDescent="0.2">
      <c r="A32" s="15">
        <v>31</v>
      </c>
      <c r="B32" s="2">
        <v>0.189</v>
      </c>
      <c r="C32" s="2">
        <v>0.19</v>
      </c>
      <c r="D32" s="1">
        <f t="shared" si="0"/>
        <v>0.43661971830985913</v>
      </c>
      <c r="E32" s="1">
        <f t="shared" si="1"/>
        <v>-0.15954508992311356</v>
      </c>
      <c r="F32" s="6">
        <f t="shared" si="2"/>
        <v>0.47145448997660838</v>
      </c>
    </row>
    <row r="33" spans="1:6" x14ac:dyDescent="0.2">
      <c r="A33" s="15">
        <v>32</v>
      </c>
      <c r="B33" s="2">
        <v>0.19</v>
      </c>
      <c r="C33" s="2">
        <v>0.19</v>
      </c>
      <c r="D33" s="1">
        <f t="shared" si="0"/>
        <v>0.45070422535211269</v>
      </c>
      <c r="E33" s="1">
        <f t="shared" si="1"/>
        <v>-0.12388232125861309</v>
      </c>
      <c r="F33" s="6">
        <f t="shared" si="2"/>
        <v>0.47145448997660838</v>
      </c>
    </row>
    <row r="34" spans="1:6" x14ac:dyDescent="0.2">
      <c r="A34" s="15">
        <v>33</v>
      </c>
      <c r="B34" s="2">
        <v>0.186</v>
      </c>
      <c r="C34" s="2">
        <v>0.19</v>
      </c>
      <c r="D34" s="1">
        <f t="shared" si="0"/>
        <v>0.46478873239436619</v>
      </c>
      <c r="E34" s="1">
        <f t="shared" si="1"/>
        <v>-8.8376466903218626E-2</v>
      </c>
      <c r="F34" s="6">
        <f t="shared" si="2"/>
        <v>0.47145448997660838</v>
      </c>
    </row>
    <row r="35" spans="1:6" x14ac:dyDescent="0.2">
      <c r="A35" s="15">
        <v>34</v>
      </c>
      <c r="B35" s="2">
        <v>0.189</v>
      </c>
      <c r="C35" s="2">
        <v>0.19</v>
      </c>
      <c r="D35" s="1">
        <f t="shared" si="0"/>
        <v>0.47887323943661969</v>
      </c>
      <c r="E35" s="1">
        <f t="shared" si="1"/>
        <v>-5.2981712102996618E-2</v>
      </c>
      <c r="F35" s="6">
        <f t="shared" si="2"/>
        <v>0.47145448997660838</v>
      </c>
    </row>
    <row r="36" spans="1:6" x14ac:dyDescent="0.2">
      <c r="A36" s="15">
        <v>35</v>
      </c>
      <c r="B36" s="2">
        <v>0.191</v>
      </c>
      <c r="C36" s="2">
        <v>0.19</v>
      </c>
      <c r="D36" s="1">
        <f t="shared" si="0"/>
        <v>0.49295774647887325</v>
      </c>
      <c r="E36" s="1">
        <f t="shared" si="1"/>
        <v>-1.7653228648661298E-2</v>
      </c>
      <c r="F36" s="6">
        <f t="shared" si="2"/>
        <v>0.47145448997660838</v>
      </c>
    </row>
    <row r="37" spans="1:6" x14ac:dyDescent="0.2">
      <c r="A37" s="15">
        <v>36</v>
      </c>
      <c r="B37" s="2">
        <v>0.193</v>
      </c>
      <c r="C37" s="2">
        <v>0.19</v>
      </c>
      <c r="D37" s="1">
        <f t="shared" si="0"/>
        <v>0.50704225352112675</v>
      </c>
      <c r="E37" s="1">
        <f t="shared" si="1"/>
        <v>1.7653228648661298E-2</v>
      </c>
      <c r="F37" s="6">
        <f t="shared" si="2"/>
        <v>0.47145448997660838</v>
      </c>
    </row>
    <row r="38" spans="1:6" x14ac:dyDescent="0.2">
      <c r="A38" s="15">
        <v>37</v>
      </c>
      <c r="B38" s="2">
        <v>0.187</v>
      </c>
      <c r="C38" s="2">
        <v>0.19</v>
      </c>
      <c r="D38" s="1">
        <f t="shared" si="0"/>
        <v>0.52112676056338025</v>
      </c>
      <c r="E38" s="1">
        <f t="shared" si="1"/>
        <v>5.298171210299648E-2</v>
      </c>
      <c r="F38" s="6">
        <f t="shared" si="2"/>
        <v>0.47145448997660838</v>
      </c>
    </row>
    <row r="39" spans="1:6" x14ac:dyDescent="0.2">
      <c r="A39" s="15">
        <v>38</v>
      </c>
      <c r="B39" s="2">
        <v>0.19</v>
      </c>
      <c r="C39" s="2">
        <v>0.19</v>
      </c>
      <c r="D39" s="1">
        <f t="shared" si="0"/>
        <v>0.53521126760563376</v>
      </c>
      <c r="E39" s="1">
        <f t="shared" si="1"/>
        <v>8.8376466903218473E-2</v>
      </c>
      <c r="F39" s="6">
        <f t="shared" si="2"/>
        <v>0.47145448997660838</v>
      </c>
    </row>
    <row r="40" spans="1:6" x14ac:dyDescent="0.2">
      <c r="A40" s="15">
        <v>39</v>
      </c>
      <c r="B40" s="2">
        <v>0.193</v>
      </c>
      <c r="C40" s="2">
        <v>0.19</v>
      </c>
      <c r="D40" s="1">
        <f t="shared" si="0"/>
        <v>0.54929577464788737</v>
      </c>
      <c r="E40" s="1">
        <f t="shared" si="1"/>
        <v>0.12388232125861322</v>
      </c>
      <c r="F40" s="6">
        <f t="shared" si="2"/>
        <v>0.47145448997660838</v>
      </c>
    </row>
    <row r="41" spans="1:6" x14ac:dyDescent="0.2">
      <c r="A41" s="15">
        <v>40</v>
      </c>
      <c r="B41" s="2">
        <v>0.19</v>
      </c>
      <c r="C41" s="2">
        <v>0.19</v>
      </c>
      <c r="D41" s="1">
        <f t="shared" si="0"/>
        <v>0.56338028169014087</v>
      </c>
      <c r="E41" s="1">
        <f t="shared" si="1"/>
        <v>0.15954508992311356</v>
      </c>
      <c r="F41" s="6">
        <f t="shared" si="2"/>
        <v>0.47145448997660838</v>
      </c>
    </row>
    <row r="42" spans="1:6" x14ac:dyDescent="0.2">
      <c r="A42" s="15">
        <v>41</v>
      </c>
      <c r="B42" s="2">
        <v>0.19</v>
      </c>
      <c r="C42" s="2">
        <v>0.191</v>
      </c>
      <c r="D42" s="1">
        <f t="shared" si="0"/>
        <v>0.57746478873239437</v>
      </c>
      <c r="E42" s="1">
        <f t="shared" si="1"/>
        <v>0.19541200066782957</v>
      </c>
      <c r="F42" s="6">
        <f t="shared" si="2"/>
        <v>0.66628756264928668</v>
      </c>
    </row>
    <row r="43" spans="1:6" x14ac:dyDescent="0.2">
      <c r="A43" s="15">
        <v>42</v>
      </c>
      <c r="B43" s="2">
        <v>0.19</v>
      </c>
      <c r="C43" s="2">
        <v>0.191</v>
      </c>
      <c r="D43" s="1">
        <f t="shared" si="0"/>
        <v>0.59154929577464788</v>
      </c>
      <c r="E43" s="1">
        <f t="shared" si="1"/>
        <v>0.23153215429615501</v>
      </c>
      <c r="F43" s="6">
        <f t="shared" si="2"/>
        <v>0.66628756264928668</v>
      </c>
    </row>
    <row r="44" spans="1:6" x14ac:dyDescent="0.2">
      <c r="A44" s="15">
        <v>43</v>
      </c>
      <c r="B44" s="2">
        <v>0.192</v>
      </c>
      <c r="C44" s="2">
        <v>0.191</v>
      </c>
      <c r="D44" s="1">
        <f t="shared" si="0"/>
        <v>0.60563380281690138</v>
      </c>
      <c r="E44" s="1">
        <f t="shared" si="1"/>
        <v>0.26795703033347451</v>
      </c>
      <c r="F44" s="6">
        <f t="shared" si="2"/>
        <v>0.66628756264928668</v>
      </c>
    </row>
    <row r="45" spans="1:6" x14ac:dyDescent="0.2">
      <c r="A45" s="15">
        <v>44</v>
      </c>
      <c r="B45" s="2">
        <v>0.189</v>
      </c>
      <c r="C45" s="2">
        <v>0.191</v>
      </c>
      <c r="D45" s="1">
        <f t="shared" si="0"/>
        <v>0.61971830985915488</v>
      </c>
      <c r="E45" s="1">
        <f t="shared" si="1"/>
        <v>0.30474105269084489</v>
      </c>
      <c r="F45" s="6">
        <f t="shared" si="2"/>
        <v>0.66628756264928668</v>
      </c>
    </row>
    <row r="46" spans="1:6" x14ac:dyDescent="0.2">
      <c r="A46" s="15">
        <v>45</v>
      </c>
      <c r="B46" s="2">
        <v>0.19400000000000001</v>
      </c>
      <c r="C46" s="2">
        <v>0.191</v>
      </c>
      <c r="D46" s="1">
        <f t="shared" si="0"/>
        <v>0.63380281690140849</v>
      </c>
      <c r="E46" s="1">
        <f t="shared" si="1"/>
        <v>0.34194223257020157</v>
      </c>
      <c r="F46" s="6">
        <f t="shared" si="2"/>
        <v>0.66628756264928668</v>
      </c>
    </row>
    <row r="47" spans="1:6" x14ac:dyDescent="0.2">
      <c r="A47" s="15">
        <v>46</v>
      </c>
      <c r="B47" s="2">
        <v>0.191</v>
      </c>
      <c r="C47" s="2">
        <v>0.191</v>
      </c>
      <c r="D47" s="1">
        <f t="shared" si="0"/>
        <v>0.647887323943662</v>
      </c>
      <c r="E47" s="1">
        <f t="shared" si="1"/>
        <v>0.37962290989397623</v>
      </c>
      <c r="F47" s="6">
        <f t="shared" si="2"/>
        <v>0.66628756264928668</v>
      </c>
    </row>
    <row r="48" spans="1:6" x14ac:dyDescent="0.2">
      <c r="A48" s="15">
        <v>47</v>
      </c>
      <c r="B48" s="2">
        <v>0.192</v>
      </c>
      <c r="C48" s="2">
        <v>0.191</v>
      </c>
      <c r="D48" s="1">
        <f t="shared" si="0"/>
        <v>0.6619718309859155</v>
      </c>
      <c r="E48" s="1">
        <f t="shared" si="1"/>
        <v>0.41785061995716238</v>
      </c>
      <c r="F48" s="6">
        <f t="shared" si="2"/>
        <v>0.66628756264928668</v>
      </c>
    </row>
    <row r="49" spans="1:12" x14ac:dyDescent="0.2">
      <c r="A49" s="15">
        <v>48</v>
      </c>
      <c r="B49" s="2">
        <v>0.191</v>
      </c>
      <c r="C49" s="2">
        <v>0.191</v>
      </c>
      <c r="D49" s="1">
        <f t="shared" si="0"/>
        <v>0.676056338028169</v>
      </c>
      <c r="E49" s="1">
        <f t="shared" si="1"/>
        <v>0.4566991193212227</v>
      </c>
      <c r="F49" s="6">
        <f t="shared" si="2"/>
        <v>0.66628756264928668</v>
      </c>
    </row>
    <row r="50" spans="1:12" x14ac:dyDescent="0.2">
      <c r="A50" s="15">
        <v>49</v>
      </c>
      <c r="B50" s="2">
        <v>0.189</v>
      </c>
      <c r="C50" s="2">
        <v>0.191</v>
      </c>
      <c r="D50" s="1">
        <f t="shared" si="0"/>
        <v>0.6901408450704225</v>
      </c>
      <c r="E50" s="1">
        <f t="shared" si="1"/>
        <v>0.49624961492999042</v>
      </c>
      <c r="F50" s="6">
        <f t="shared" si="2"/>
        <v>0.66628756264928668</v>
      </c>
    </row>
    <row r="51" spans="1:12" ht="17" thickBot="1" x14ac:dyDescent="0.25">
      <c r="A51" s="15">
        <v>50</v>
      </c>
      <c r="B51" s="2">
        <v>0.189</v>
      </c>
      <c r="C51" s="2">
        <v>0.191</v>
      </c>
      <c r="D51" s="1">
        <f t="shared" si="0"/>
        <v>0.70422535211267601</v>
      </c>
      <c r="E51" s="1">
        <f t="shared" si="1"/>
        <v>0.53659225410132738</v>
      </c>
      <c r="F51" s="6">
        <f t="shared" si="2"/>
        <v>0.66628756264928668</v>
      </c>
    </row>
    <row r="52" spans="1:12" x14ac:dyDescent="0.2">
      <c r="A52" s="15">
        <v>51</v>
      </c>
      <c r="B52" s="2">
        <v>0.189</v>
      </c>
      <c r="C52" s="2">
        <v>0.191</v>
      </c>
      <c r="D52" s="1">
        <f t="shared" si="0"/>
        <v>0.71830985915492962</v>
      </c>
      <c r="E52" s="1">
        <f t="shared" si="1"/>
        <v>0.57782795202826553</v>
      </c>
      <c r="F52" s="6">
        <f t="shared" si="2"/>
        <v>0.66628756264928668</v>
      </c>
      <c r="H52" s="3" t="s">
        <v>9</v>
      </c>
      <c r="I52" s="4">
        <v>-89.894999999999996</v>
      </c>
    </row>
    <row r="53" spans="1:12" ht="17" thickBot="1" x14ac:dyDescent="0.25">
      <c r="A53" s="15">
        <v>52</v>
      </c>
      <c r="B53" s="2">
        <v>0.187</v>
      </c>
      <c r="C53" s="2">
        <v>0.191</v>
      </c>
      <c r="D53" s="1">
        <f t="shared" si="0"/>
        <v>0.73239436619718312</v>
      </c>
      <c r="E53" s="1">
        <f t="shared" si="1"/>
        <v>0.62007066011244694</v>
      </c>
      <c r="F53" s="6">
        <f t="shared" si="2"/>
        <v>0.66628756264928668</v>
      </c>
      <c r="H53" s="5" t="s">
        <v>10</v>
      </c>
      <c r="I53" s="6">
        <v>472.78</v>
      </c>
    </row>
    <row r="54" spans="1:12" x14ac:dyDescent="0.2">
      <c r="A54" s="15">
        <v>53</v>
      </c>
      <c r="B54" s="2">
        <v>0.191</v>
      </c>
      <c r="C54" s="2">
        <v>0.191</v>
      </c>
      <c r="D54" s="1">
        <f t="shared" si="0"/>
        <v>0.74647887323943662</v>
      </c>
      <c r="E54" s="1">
        <f t="shared" si="1"/>
        <v>0.66345021653821168</v>
      </c>
      <c r="F54" s="6">
        <f t="shared" si="2"/>
        <v>0.66628756264928668</v>
      </c>
      <c r="H54" s="7" t="s">
        <v>11</v>
      </c>
      <c r="I54" s="6">
        <f>1/I53</f>
        <v>2.1151486949532554E-3</v>
      </c>
      <c r="K54" s="10" t="s">
        <v>14</v>
      </c>
      <c r="L54" s="4">
        <f>STDEV(B50:B119)</f>
        <v>1.7904266825613697E-3</v>
      </c>
    </row>
    <row r="55" spans="1:12" ht="17" thickBot="1" x14ac:dyDescent="0.25">
      <c r="A55" s="15">
        <v>54</v>
      </c>
      <c r="B55" s="2">
        <v>0.191</v>
      </c>
      <c r="C55" s="2">
        <v>0.192</v>
      </c>
      <c r="D55" s="1">
        <f t="shared" si="0"/>
        <v>0.76056338028169013</v>
      </c>
      <c r="E55" s="1">
        <f t="shared" si="1"/>
        <v>0.70811597574759699</v>
      </c>
      <c r="F55" s="6">
        <f t="shared" si="2"/>
        <v>0.82406906234610811</v>
      </c>
      <c r="H55" s="8" t="s">
        <v>12</v>
      </c>
      <c r="I55" s="9">
        <f>-(I52/I53)</f>
        <v>0.19014129193282289</v>
      </c>
      <c r="K55" s="11" t="s">
        <v>3</v>
      </c>
      <c r="L55" s="12">
        <f>AVERAGE(B56:B125)</f>
        <v>0.18968750000000001</v>
      </c>
    </row>
    <row r="56" spans="1:12" x14ac:dyDescent="0.2">
      <c r="A56" s="15">
        <v>55</v>
      </c>
      <c r="B56" s="2">
        <v>0.189</v>
      </c>
      <c r="C56" s="2">
        <v>0.192</v>
      </c>
      <c r="D56" s="1">
        <f t="shared" si="0"/>
        <v>0.77464788732394363</v>
      </c>
      <c r="E56" s="1">
        <f t="shared" si="1"/>
        <v>0.75424149512029026</v>
      </c>
      <c r="F56" s="6">
        <f t="shared" si="2"/>
        <v>0.82406906234610811</v>
      </c>
    </row>
    <row r="57" spans="1:12" x14ac:dyDescent="0.2">
      <c r="A57" s="15">
        <v>56</v>
      </c>
      <c r="B57" s="2">
        <v>0.19</v>
      </c>
      <c r="C57" s="2">
        <v>0.192</v>
      </c>
      <c r="D57" s="1">
        <f t="shared" si="0"/>
        <v>0.78873239436619713</v>
      </c>
      <c r="E57" s="1">
        <f t="shared" si="1"/>
        <v>0.8020306803053997</v>
      </c>
      <c r="F57" s="6">
        <f t="shared" si="2"/>
        <v>0.82406906234610811</v>
      </c>
    </row>
    <row r="58" spans="1:12" x14ac:dyDescent="0.2">
      <c r="A58" s="15">
        <v>57</v>
      </c>
      <c r="B58" s="2">
        <v>0.191</v>
      </c>
      <c r="C58" s="2">
        <v>0.192</v>
      </c>
      <c r="D58" s="1">
        <f t="shared" si="0"/>
        <v>0.80281690140845074</v>
      </c>
      <c r="E58" s="1">
        <f t="shared" si="1"/>
        <v>0.85172598069826733</v>
      </c>
      <c r="F58" s="6">
        <f t="shared" si="2"/>
        <v>0.82406906234610811</v>
      </c>
    </row>
    <row r="59" spans="1:12" x14ac:dyDescent="0.2">
      <c r="A59" s="15">
        <v>58</v>
      </c>
      <c r="B59" s="2">
        <v>0.187</v>
      </c>
      <c r="C59" s="2">
        <v>0.192</v>
      </c>
      <c r="D59" s="1">
        <f t="shared" si="0"/>
        <v>0.81690140845070425</v>
      </c>
      <c r="E59" s="1">
        <f t="shared" si="1"/>
        <v>0.90361952751406249</v>
      </c>
      <c r="F59" s="6">
        <f t="shared" si="2"/>
        <v>0.82406906234610811</v>
      </c>
    </row>
    <row r="60" spans="1:12" x14ac:dyDescent="0.2">
      <c r="A60" s="15">
        <v>59</v>
      </c>
      <c r="B60" s="2">
        <v>0.187</v>
      </c>
      <c r="C60" s="2">
        <v>0.192</v>
      </c>
      <c r="D60" s="1">
        <f t="shared" si="0"/>
        <v>0.83098591549295775</v>
      </c>
      <c r="E60" s="1">
        <f t="shared" si="1"/>
        <v>0.95806859760897212</v>
      </c>
      <c r="F60" s="6">
        <f t="shared" si="2"/>
        <v>0.82406906234610811</v>
      </c>
    </row>
    <row r="61" spans="1:12" x14ac:dyDescent="0.2">
      <c r="A61" s="15">
        <v>60</v>
      </c>
      <c r="B61" s="2">
        <v>0.193</v>
      </c>
      <c r="C61" s="2">
        <v>0.192</v>
      </c>
      <c r="D61" s="1">
        <f t="shared" si="0"/>
        <v>0.84507042253521125</v>
      </c>
      <c r="E61" s="1">
        <f t="shared" si="1"/>
        <v>1.0155176132934878</v>
      </c>
      <c r="F61" s="6">
        <f t="shared" si="2"/>
        <v>0.82406906234610811</v>
      </c>
    </row>
    <row r="62" spans="1:12" x14ac:dyDescent="0.2">
      <c r="A62" s="15">
        <v>61</v>
      </c>
      <c r="B62" s="2">
        <v>0.19</v>
      </c>
      <c r="C62" s="2">
        <v>0.192</v>
      </c>
      <c r="D62" s="1">
        <f t="shared" si="0"/>
        <v>0.85915492957746475</v>
      </c>
      <c r="E62" s="1">
        <f t="shared" si="1"/>
        <v>1.0765303368163031</v>
      </c>
      <c r="F62" s="6">
        <f t="shared" si="2"/>
        <v>0.82406906234610811</v>
      </c>
    </row>
    <row r="63" spans="1:12" x14ac:dyDescent="0.2">
      <c r="A63" s="15">
        <v>62</v>
      </c>
      <c r="B63" s="2">
        <v>0.192</v>
      </c>
      <c r="C63" s="2">
        <v>0.193</v>
      </c>
      <c r="D63" s="1">
        <f t="shared" si="0"/>
        <v>0.87323943661971826</v>
      </c>
      <c r="E63" s="1">
        <f t="shared" si="1"/>
        <v>1.1418385701455154</v>
      </c>
      <c r="F63" s="6">
        <f t="shared" si="2"/>
        <v>0.92396857314073522</v>
      </c>
    </row>
    <row r="64" spans="1:12" x14ac:dyDescent="0.2">
      <c r="A64" s="15">
        <v>63</v>
      </c>
      <c r="B64" s="2">
        <v>0.191</v>
      </c>
      <c r="C64" s="2">
        <v>0.193</v>
      </c>
      <c r="D64" s="1">
        <f t="shared" si="0"/>
        <v>0.88732394366197187</v>
      </c>
      <c r="E64" s="1">
        <f t="shared" si="1"/>
        <v>1.2124187877842669</v>
      </c>
      <c r="F64" s="6">
        <f t="shared" si="2"/>
        <v>0.92396857314073522</v>
      </c>
    </row>
    <row r="65" spans="1:6" x14ac:dyDescent="0.2">
      <c r="A65" s="15">
        <v>64</v>
      </c>
      <c r="B65" s="2">
        <v>0.188</v>
      </c>
      <c r="C65" s="2">
        <v>0.193</v>
      </c>
      <c r="D65" s="1">
        <f t="shared" si="0"/>
        <v>0.90140845070422537</v>
      </c>
      <c r="E65" s="1">
        <f t="shared" si="1"/>
        <v>1.2896186457164065</v>
      </c>
      <c r="F65" s="6">
        <f t="shared" si="2"/>
        <v>0.92396857314073522</v>
      </c>
    </row>
    <row r="66" spans="1:6" x14ac:dyDescent="0.2">
      <c r="A66" s="15">
        <v>65</v>
      </c>
      <c r="B66" s="2">
        <v>0.187</v>
      </c>
      <c r="C66" s="2">
        <v>0.193</v>
      </c>
      <c r="D66" s="1">
        <f t="shared" si="0"/>
        <v>0.91549295774647887</v>
      </c>
      <c r="E66" s="1">
        <f t="shared" si="1"/>
        <v>1.375378649883463</v>
      </c>
      <c r="F66" s="6">
        <f t="shared" si="2"/>
        <v>0.92396857314073522</v>
      </c>
    </row>
    <row r="67" spans="1:6" x14ac:dyDescent="0.2">
      <c r="A67" s="15">
        <v>66</v>
      </c>
      <c r="B67" s="2">
        <v>0.191</v>
      </c>
      <c r="C67" s="2">
        <v>0.193</v>
      </c>
      <c r="D67" s="1">
        <f t="shared" ref="D67:D71" si="3">A67/(1+$L$5)</f>
        <v>0.92957746478873238</v>
      </c>
      <c r="E67" s="1">
        <f t="shared" ref="E67:E71" si="4">NORMINV(D67,0,1)</f>
        <v>1.4726513521641151</v>
      </c>
      <c r="F67" s="6">
        <f t="shared" ref="F67:F71" si="5">NORMDIST(C67,$L$1,$L$6,TRUE)</f>
        <v>0.92396857314073522</v>
      </c>
    </row>
    <row r="68" spans="1:6" x14ac:dyDescent="0.2">
      <c r="A68" s="15">
        <v>67</v>
      </c>
      <c r="B68" s="2">
        <v>0.19</v>
      </c>
      <c r="C68" s="2">
        <v>0.19400000000000001</v>
      </c>
      <c r="D68" s="1">
        <f t="shared" si="3"/>
        <v>0.94366197183098588</v>
      </c>
      <c r="E68" s="1">
        <f t="shared" si="4"/>
        <v>1.586278900914659</v>
      </c>
      <c r="F68" s="6">
        <f t="shared" si="5"/>
        <v>0.97341772984419561</v>
      </c>
    </row>
    <row r="69" spans="1:6" x14ac:dyDescent="0.2">
      <c r="A69" s="15">
        <v>68</v>
      </c>
      <c r="B69" s="2">
        <v>0.192</v>
      </c>
      <c r="C69" s="2">
        <v>0.19400000000000001</v>
      </c>
      <c r="D69" s="1">
        <f t="shared" si="3"/>
        <v>0.95774647887323938</v>
      </c>
      <c r="E69" s="1">
        <f t="shared" si="4"/>
        <v>1.7251133770389835</v>
      </c>
      <c r="F69" s="6">
        <f t="shared" si="5"/>
        <v>0.97341772984419561</v>
      </c>
    </row>
    <row r="70" spans="1:6" x14ac:dyDescent="0.2">
      <c r="A70" s="15">
        <v>69</v>
      </c>
      <c r="B70" s="2">
        <v>0.188</v>
      </c>
      <c r="C70" s="2">
        <v>0.19400000000000001</v>
      </c>
      <c r="D70" s="1">
        <f t="shared" si="3"/>
        <v>0.971830985915493</v>
      </c>
      <c r="E70" s="1">
        <f t="shared" si="4"/>
        <v>1.9084116818884711</v>
      </c>
      <c r="F70" s="6">
        <f t="shared" si="5"/>
        <v>0.97341772984419561</v>
      </c>
    </row>
    <row r="71" spans="1:6" ht="17" thickBot="1" x14ac:dyDescent="0.25">
      <c r="A71" s="11">
        <v>70</v>
      </c>
      <c r="B71" s="16">
        <v>0.189</v>
      </c>
      <c r="C71" s="16">
        <v>0.19400000000000001</v>
      </c>
      <c r="D71" s="17">
        <f t="shared" si="3"/>
        <v>0.9859154929577465</v>
      </c>
      <c r="E71" s="17">
        <f t="shared" si="4"/>
        <v>2.1949244993050558</v>
      </c>
      <c r="F71" s="9">
        <f t="shared" si="5"/>
        <v>0.97341772984419561</v>
      </c>
    </row>
  </sheetData>
  <sortState xmlns:xlrd2="http://schemas.microsoft.com/office/spreadsheetml/2017/richdata2" ref="C2:C71">
    <sortCondition ref="C2:C7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Arkusz1!dane_19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Ludwiczak</dc:creator>
  <cp:lastModifiedBy>Adam Ludwiczak</cp:lastModifiedBy>
  <dcterms:created xsi:type="dcterms:W3CDTF">2022-01-16T11:20:44Z</dcterms:created>
  <dcterms:modified xsi:type="dcterms:W3CDTF">2022-01-22T07:24:42Z</dcterms:modified>
</cp:coreProperties>
</file>