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ludwiczak/Projects/MPwI/Zad1/"/>
    </mc:Choice>
  </mc:AlternateContent>
  <xr:revisionPtr revIDLastSave="0" documentId="8_{979B853C-DADE-F544-ADFC-C853DDFFDBB2}" xr6:coauthVersionLast="47" xr6:coauthVersionMax="47" xr10:uidLastSave="{00000000-0000-0000-0000-000000000000}"/>
  <bookViews>
    <workbookView xWindow="0" yWindow="500" windowWidth="33600" windowHeight="18820" xr2:uid="{8FA63998-7DFE-404C-9BC7-A886CC2C6D78}"/>
  </bookViews>
  <sheets>
    <sheet name="Arkusz1" sheetId="1" r:id="rId1"/>
  </sheets>
  <definedNames>
    <definedName name="dane_19" localSheetId="0">Arkusz1!$A$1:$A$71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2" i="1" l="1"/>
  <c r="D113" i="1" s="1"/>
  <c r="D85" i="1"/>
  <c r="D86" i="1" s="1"/>
  <c r="E52" i="1" a="1"/>
  <c r="E52" i="1" s="1"/>
  <c r="E30" i="1" a="1"/>
  <c r="E30" i="1" s="1"/>
  <c r="E13" i="1"/>
  <c r="E12" i="1"/>
  <c r="E11" i="1"/>
  <c r="D114" i="1" l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87" i="1"/>
  <c r="D88" i="1" s="1"/>
  <c r="D89" i="1" s="1"/>
  <c r="D90" i="1" s="1"/>
  <c r="D91" i="1" s="1"/>
  <c r="D92" i="1" s="1"/>
  <c r="E111" i="1" l="1" a="1"/>
  <c r="E111" i="1" s="1"/>
  <c r="E84" i="1" a="1"/>
  <c r="E8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D017B-16BE-DE44-8381-A6466EAA243A}" name="dane_19" type="6" refreshedVersion="7" background="1" saveData="1">
    <textPr sourceFile="/Users/adamludwiczak/Desktop/dane_19.txt" decimal="," thousands=" ">
      <textFields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<sst xmlns="http://schemas.openxmlformats.org/spreadsheetml/2006/main" count="12" uniqueCount="9">
  <si>
    <t>Wartość minimalna</t>
  </si>
  <si>
    <t>Wartość maksymalna</t>
  </si>
  <si>
    <t>Wartość średnia</t>
  </si>
  <si>
    <t>Liczność</t>
  </si>
  <si>
    <t>Przedziały</t>
  </si>
  <si>
    <t>1+E37A1:E41A1:E39</t>
  </si>
  <si>
    <t>Przedział (15)</t>
  </si>
  <si>
    <t>Przedziały (5)</t>
  </si>
  <si>
    <t>Przedziały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</si>
</sst>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Arkusz1!$A$1:$A$70</c:f>
              <c:strCache>
                <c:ptCount val="70"/>
                <c:pt idx="0">
                  <c:v>1+E37A1:E41A1:E39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xVal>
          <c:yVal>
            <c:numRef>
              <c:f>Arkusz1!$B$1:$B$70</c:f>
              <c:numCache>
                <c:formatCode>General</c:formatCode>
                <c:ptCount val="70"/>
                <c:pt idx="0">
                  <c:v>0.19400000000000001</c:v>
                </c:pt>
                <c:pt idx="1">
                  <c:v>0.193</c:v>
                </c:pt>
                <c:pt idx="2">
                  <c:v>0.19400000000000001</c:v>
                </c:pt>
                <c:pt idx="3">
                  <c:v>0.188</c:v>
                </c:pt>
                <c:pt idx="4">
                  <c:v>0.19</c:v>
                </c:pt>
                <c:pt idx="5">
                  <c:v>0.192</c:v>
                </c:pt>
                <c:pt idx="6">
                  <c:v>0.19</c:v>
                </c:pt>
                <c:pt idx="7">
                  <c:v>0.189</c:v>
                </c:pt>
                <c:pt idx="8">
                  <c:v>0.19</c:v>
                </c:pt>
                <c:pt idx="9">
                  <c:v>0.192</c:v>
                </c:pt>
                <c:pt idx="10">
                  <c:v>0.192</c:v>
                </c:pt>
                <c:pt idx="11">
                  <c:v>0.19</c:v>
                </c:pt>
                <c:pt idx="12">
                  <c:v>0.193</c:v>
                </c:pt>
                <c:pt idx="13">
                  <c:v>0.189</c:v>
                </c:pt>
                <c:pt idx="14">
                  <c:v>0.191</c:v>
                </c:pt>
                <c:pt idx="15">
                  <c:v>0.19400000000000001</c:v>
                </c:pt>
                <c:pt idx="16">
                  <c:v>0.191</c:v>
                </c:pt>
                <c:pt idx="17">
                  <c:v>0.189</c:v>
                </c:pt>
                <c:pt idx="18">
                  <c:v>0.19</c:v>
                </c:pt>
                <c:pt idx="19">
                  <c:v>0.188</c:v>
                </c:pt>
                <c:pt idx="20">
                  <c:v>0.191</c:v>
                </c:pt>
                <c:pt idx="21">
                  <c:v>0.192</c:v>
                </c:pt>
                <c:pt idx="22">
                  <c:v>0.191</c:v>
                </c:pt>
                <c:pt idx="23">
                  <c:v>0.19</c:v>
                </c:pt>
                <c:pt idx="24">
                  <c:v>0.188</c:v>
                </c:pt>
                <c:pt idx="25">
                  <c:v>0.187</c:v>
                </c:pt>
                <c:pt idx="26">
                  <c:v>0.186</c:v>
                </c:pt>
                <c:pt idx="27">
                  <c:v>0.189</c:v>
                </c:pt>
                <c:pt idx="28">
                  <c:v>0.188</c:v>
                </c:pt>
                <c:pt idx="29">
                  <c:v>0.191</c:v>
                </c:pt>
                <c:pt idx="30">
                  <c:v>0.189</c:v>
                </c:pt>
                <c:pt idx="31">
                  <c:v>0.19</c:v>
                </c:pt>
                <c:pt idx="32">
                  <c:v>0.186</c:v>
                </c:pt>
                <c:pt idx="33">
                  <c:v>0.189</c:v>
                </c:pt>
                <c:pt idx="34">
                  <c:v>0.191</c:v>
                </c:pt>
                <c:pt idx="35">
                  <c:v>0.193</c:v>
                </c:pt>
                <c:pt idx="36">
                  <c:v>0.187</c:v>
                </c:pt>
                <c:pt idx="37">
                  <c:v>0.19</c:v>
                </c:pt>
                <c:pt idx="38">
                  <c:v>0.193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0.192</c:v>
                </c:pt>
                <c:pt idx="43">
                  <c:v>0.189</c:v>
                </c:pt>
                <c:pt idx="44">
                  <c:v>0.19400000000000001</c:v>
                </c:pt>
                <c:pt idx="45">
                  <c:v>0.191</c:v>
                </c:pt>
                <c:pt idx="46">
                  <c:v>0.192</c:v>
                </c:pt>
                <c:pt idx="47">
                  <c:v>0.191</c:v>
                </c:pt>
                <c:pt idx="48">
                  <c:v>0.189</c:v>
                </c:pt>
                <c:pt idx="49">
                  <c:v>0.189</c:v>
                </c:pt>
                <c:pt idx="50">
                  <c:v>0.189</c:v>
                </c:pt>
                <c:pt idx="51">
                  <c:v>0.187</c:v>
                </c:pt>
                <c:pt idx="52">
                  <c:v>0.191</c:v>
                </c:pt>
                <c:pt idx="53">
                  <c:v>0.191</c:v>
                </c:pt>
                <c:pt idx="54">
                  <c:v>0.189</c:v>
                </c:pt>
                <c:pt idx="55">
                  <c:v>0.19</c:v>
                </c:pt>
                <c:pt idx="56">
                  <c:v>0.191</c:v>
                </c:pt>
                <c:pt idx="57">
                  <c:v>0.187</c:v>
                </c:pt>
                <c:pt idx="58">
                  <c:v>0.187</c:v>
                </c:pt>
                <c:pt idx="59">
                  <c:v>0.193</c:v>
                </c:pt>
                <c:pt idx="60">
                  <c:v>0.19</c:v>
                </c:pt>
                <c:pt idx="61">
                  <c:v>0.192</c:v>
                </c:pt>
                <c:pt idx="62">
                  <c:v>0.191</c:v>
                </c:pt>
                <c:pt idx="63">
                  <c:v>0.188</c:v>
                </c:pt>
                <c:pt idx="64">
                  <c:v>0.187</c:v>
                </c:pt>
                <c:pt idx="65">
                  <c:v>0.191</c:v>
                </c:pt>
                <c:pt idx="66">
                  <c:v>0.19</c:v>
                </c:pt>
                <c:pt idx="67">
                  <c:v>0.192</c:v>
                </c:pt>
                <c:pt idx="68">
                  <c:v>0.188</c:v>
                </c:pt>
                <c:pt idx="69">
                  <c:v>0.189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D6-9041-862E-A0CDB006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889295"/>
        <c:axId val="1222669471"/>
      </c:scatterChart>
      <c:valAx>
        <c:axId val="118288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2669471"/>
        <c:crosses val="autoZero"/>
        <c:crossBetween val="midCat"/>
      </c:valAx>
      <c:valAx>
        <c:axId val="12226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288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Arkusz1!$E$29</c:f>
              <c:strCache>
                <c:ptCount val="1"/>
                <c:pt idx="0">
                  <c:v>Liczność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Arkusz1!$D$30:$D$38</c:f>
              <c:numCache>
                <c:formatCode>General</c:formatCode>
                <c:ptCount val="9"/>
                <c:pt idx="0">
                  <c:v>0.186</c:v>
                </c:pt>
                <c:pt idx="1">
                  <c:v>0.187</c:v>
                </c:pt>
                <c:pt idx="2">
                  <c:v>0.188</c:v>
                </c:pt>
                <c:pt idx="3">
                  <c:v>0.189</c:v>
                </c:pt>
                <c:pt idx="4">
                  <c:v>0.19</c:v>
                </c:pt>
                <c:pt idx="5">
                  <c:v>0.191</c:v>
                </c:pt>
                <c:pt idx="6">
                  <c:v>0.192</c:v>
                </c:pt>
                <c:pt idx="7">
                  <c:v>0.193</c:v>
                </c:pt>
                <c:pt idx="8">
                  <c:v>0.19400000000000001</c:v>
                </c:pt>
              </c:numCache>
            </c:numRef>
          </c:cat>
          <c:val>
            <c:numRef>
              <c:f>Arkusz1!$E$30:$E$38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12</c:v>
                </c:pt>
                <c:pt idx="4">
                  <c:v>14</c:v>
                </c:pt>
                <c:pt idx="5">
                  <c:v>13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0-5F44-8676-32BA4D8F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070847"/>
        <c:axId val="1218139967"/>
      </c:barChart>
      <c:catAx>
        <c:axId val="12310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8139967"/>
        <c:crosses val="autoZero"/>
        <c:auto val="1"/>
        <c:lblAlgn val="ctr"/>
        <c:lblOffset val="100"/>
        <c:noMultiLvlLbl val="0"/>
      </c:catAx>
      <c:valAx>
        <c:axId val="12181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10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Liczność (5)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Arkusz1!$E$29</c:f>
              <c:strCache>
                <c:ptCount val="1"/>
                <c:pt idx="0">
                  <c:v>Liczność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Arkusz1!$D$52:$D$56</c:f>
              <c:numCache>
                <c:formatCode>General</c:formatCode>
                <c:ptCount val="5"/>
                <c:pt idx="0">
                  <c:v>0.186</c:v>
                </c:pt>
                <c:pt idx="1">
                  <c:v>0.188</c:v>
                </c:pt>
                <c:pt idx="2">
                  <c:v>0.19</c:v>
                </c:pt>
                <c:pt idx="3">
                  <c:v>0.192</c:v>
                </c:pt>
                <c:pt idx="4">
                  <c:v>0.19400000000000001</c:v>
                </c:pt>
              </c:numCache>
            </c:numRef>
          </c:cat>
          <c:val>
            <c:numRef>
              <c:f>Arkusz1!$E$52:$E$56</c:f>
              <c:numCache>
                <c:formatCode>General</c:formatCode>
                <c:ptCount val="5"/>
                <c:pt idx="0">
                  <c:v>2</c:v>
                </c:pt>
                <c:pt idx="1">
                  <c:v>12</c:v>
                </c:pt>
                <c:pt idx="2">
                  <c:v>26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7-924D-BA21-FC415497C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070847"/>
        <c:axId val="1218139967"/>
      </c:barChart>
      <c:catAx>
        <c:axId val="12310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8139967"/>
        <c:crosses val="autoZero"/>
        <c:auto val="1"/>
        <c:lblAlgn val="ctr"/>
        <c:lblOffset val="100"/>
        <c:noMultiLvlLbl val="0"/>
      </c:catAx>
      <c:valAx>
        <c:axId val="12181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10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Liczność (10)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Arkusz1!$D$83</c:f>
              <c:strCache>
                <c:ptCount val="1"/>
                <c:pt idx="0">
                  <c:v>Przedziały (10)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Arkusz1!$D$84:$D$93</c:f>
              <c:numCache>
                <c:formatCode>General</c:formatCode>
                <c:ptCount val="10"/>
                <c:pt idx="0">
                  <c:v>0.186</c:v>
                </c:pt>
                <c:pt idx="1">
                  <c:v>0.18688888888888888</c:v>
                </c:pt>
                <c:pt idx="2">
                  <c:v>0.18777777777777777</c:v>
                </c:pt>
                <c:pt idx="3">
                  <c:v>0.18866666666666665</c:v>
                </c:pt>
                <c:pt idx="4">
                  <c:v>0.18955555555555553</c:v>
                </c:pt>
                <c:pt idx="5">
                  <c:v>0.19044444444444442</c:v>
                </c:pt>
                <c:pt idx="6">
                  <c:v>0.1913333333333333</c:v>
                </c:pt>
                <c:pt idx="7">
                  <c:v>0.19222222222222218</c:v>
                </c:pt>
                <c:pt idx="8">
                  <c:v>0.19311111111111107</c:v>
                </c:pt>
                <c:pt idx="9">
                  <c:v>0.19400000000000001</c:v>
                </c:pt>
              </c:numCache>
            </c:numRef>
          </c:cat>
          <c:val>
            <c:numRef>
              <c:f>Arkusz1!$E$84:$E$93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12</c:v>
                </c:pt>
                <c:pt idx="5">
                  <c:v>14</c:v>
                </c:pt>
                <c:pt idx="6">
                  <c:v>13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F-A64C-A659-4F8785658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070847"/>
        <c:axId val="1218139967"/>
      </c:barChart>
      <c:catAx>
        <c:axId val="12310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8139967"/>
        <c:crosses val="autoZero"/>
        <c:auto val="1"/>
        <c:lblAlgn val="ctr"/>
        <c:lblOffset val="100"/>
        <c:noMultiLvlLbl val="0"/>
      </c:catAx>
      <c:valAx>
        <c:axId val="12181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10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Liczność (15)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Arkusz1!$D$110</c:f>
              <c:strCache>
                <c:ptCount val="1"/>
                <c:pt idx="0">
                  <c:v>Przedział (15)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Arkusz1!$D$111:$D$125</c:f>
              <c:numCache>
                <c:formatCode>General</c:formatCode>
                <c:ptCount val="15"/>
                <c:pt idx="0">
                  <c:v>0.186</c:v>
                </c:pt>
                <c:pt idx="1">
                  <c:v>0.18657142857142858</c:v>
                </c:pt>
                <c:pt idx="2">
                  <c:v>0.18714285714285717</c:v>
                </c:pt>
                <c:pt idx="3">
                  <c:v>0.18771428571428575</c:v>
                </c:pt>
                <c:pt idx="4">
                  <c:v>0.18828571428571433</c:v>
                </c:pt>
                <c:pt idx="5">
                  <c:v>0.18885714285714292</c:v>
                </c:pt>
                <c:pt idx="6">
                  <c:v>0.1894285714285715</c:v>
                </c:pt>
                <c:pt idx="7">
                  <c:v>0.19000000000000009</c:v>
                </c:pt>
                <c:pt idx="8">
                  <c:v>0.19057142857142867</c:v>
                </c:pt>
                <c:pt idx="9">
                  <c:v>0.19114285714285725</c:v>
                </c:pt>
                <c:pt idx="10">
                  <c:v>0.19171428571428584</c:v>
                </c:pt>
                <c:pt idx="11">
                  <c:v>0.19228571428571442</c:v>
                </c:pt>
                <c:pt idx="12">
                  <c:v>0.192857142857143</c:v>
                </c:pt>
                <c:pt idx="13">
                  <c:v>0.19342857142857159</c:v>
                </c:pt>
                <c:pt idx="14">
                  <c:v>0.19400000000000001</c:v>
                </c:pt>
              </c:numCache>
            </c:numRef>
          </c:cat>
          <c:val>
            <c:numRef>
              <c:f>Arkusz1!$E$111:$E$125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12</c:v>
                </c:pt>
                <c:pt idx="7">
                  <c:v>14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5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5-D64D-8BC0-9E9F5A886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070847"/>
        <c:axId val="1218139967"/>
      </c:barChart>
      <c:catAx>
        <c:axId val="12310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8139967"/>
        <c:crosses val="autoZero"/>
        <c:auto val="1"/>
        <c:lblAlgn val="ctr"/>
        <c:lblOffset val="100"/>
        <c:noMultiLvlLbl val="0"/>
      </c:catAx>
      <c:valAx>
        <c:axId val="12181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10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1</xdr:row>
      <xdr:rowOff>19050</xdr:rowOff>
    </xdr:from>
    <xdr:to>
      <xdr:col>14</xdr:col>
      <xdr:colOff>304800</xdr:colOff>
      <xdr:row>19</xdr:row>
      <xdr:rowOff>190500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C025C0A-38EF-D044-86B2-14922FEB5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120650</xdr:rowOff>
    </xdr:from>
    <xdr:to>
      <xdr:col>14</xdr:col>
      <xdr:colOff>558800</xdr:colOff>
      <xdr:row>44</xdr:row>
      <xdr:rowOff>152400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733F255-AC2E-B04F-B12C-D78433757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14</xdr:col>
      <xdr:colOff>558800</xdr:colOff>
      <xdr:row>69</xdr:row>
      <xdr:rowOff>31750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14A030C-4569-7F47-B743-C1E12D34E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78</xdr:row>
      <xdr:rowOff>12700</xdr:rowOff>
    </xdr:from>
    <xdr:to>
      <xdr:col>14</xdr:col>
      <xdr:colOff>558800</xdr:colOff>
      <xdr:row>99</xdr:row>
      <xdr:rowOff>44450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C70D8F4-D0BE-F348-8F6E-EBB2A9765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107</xdr:row>
      <xdr:rowOff>0</xdr:rowOff>
    </xdr:from>
    <xdr:to>
      <xdr:col>14</xdr:col>
      <xdr:colOff>558800</xdr:colOff>
      <xdr:row>128</xdr:row>
      <xdr:rowOff>31750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42ABE21-CB08-B349-971B-685AA3C58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_19" connectionId="1" xr16:uid="{3D3A15C4-74FD-FF47-B98E-0204C83B653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16DA-84EF-E14B-866D-4B85FC05F026}">
  <dimension ref="A1:E126"/>
  <sheetViews>
    <sheetView tabSelected="1" topLeftCell="A25" workbookViewId="0">
      <selection activeCell="E114" sqref="E114"/>
    </sheetView>
  </sheetViews>
  <sheetFormatPr baseColWidth="10" defaultRowHeight="16" x14ac:dyDescent="0.2"/>
  <cols>
    <col min="1" max="1" width="12.5" customWidth="1"/>
    <col min="4" max="5" width="19" bestFit="1" customWidth="1"/>
  </cols>
  <sheetData>
    <row r="1" spans="1:5" x14ac:dyDescent="0.2">
      <c r="A1" t="s">
        <v>5</v>
      </c>
      <c r="B1" s="1">
        <v>0.19400000000000001</v>
      </c>
    </row>
    <row r="2" spans="1:5" x14ac:dyDescent="0.2">
      <c r="A2">
        <v>2</v>
      </c>
      <c r="B2" s="1">
        <v>0.193</v>
      </c>
    </row>
    <row r="3" spans="1:5" x14ac:dyDescent="0.2">
      <c r="A3">
        <v>3</v>
      </c>
      <c r="B3" s="1">
        <v>0.19400000000000001</v>
      </c>
    </row>
    <row r="4" spans="1:5" x14ac:dyDescent="0.2">
      <c r="A4">
        <v>4</v>
      </c>
      <c r="B4" s="1">
        <v>0.188</v>
      </c>
    </row>
    <row r="5" spans="1:5" x14ac:dyDescent="0.2">
      <c r="A5">
        <v>5</v>
      </c>
      <c r="B5" s="1">
        <v>0.19</v>
      </c>
    </row>
    <row r="6" spans="1:5" x14ac:dyDescent="0.2">
      <c r="A6">
        <v>6</v>
      </c>
      <c r="B6" s="1">
        <v>0.192</v>
      </c>
    </row>
    <row r="7" spans="1:5" x14ac:dyDescent="0.2">
      <c r="A7">
        <v>7</v>
      </c>
      <c r="B7" s="1">
        <v>0.19</v>
      </c>
    </row>
    <row r="8" spans="1:5" x14ac:dyDescent="0.2">
      <c r="A8">
        <v>8</v>
      </c>
      <c r="B8" s="1">
        <v>0.189</v>
      </c>
    </row>
    <row r="9" spans="1:5" x14ac:dyDescent="0.2">
      <c r="A9">
        <v>9</v>
      </c>
      <c r="B9" s="1">
        <v>0.19</v>
      </c>
    </row>
    <row r="10" spans="1:5" x14ac:dyDescent="0.2">
      <c r="A10">
        <v>10</v>
      </c>
      <c r="B10" s="1">
        <v>0.192</v>
      </c>
    </row>
    <row r="11" spans="1:5" x14ac:dyDescent="0.2">
      <c r="A11">
        <v>11</v>
      </c>
      <c r="B11" s="1">
        <v>0.192</v>
      </c>
      <c r="D11" s="1" t="s">
        <v>0</v>
      </c>
      <c r="E11" s="1">
        <f>MIN(B1:B70)</f>
        <v>0.186</v>
      </c>
    </row>
    <row r="12" spans="1:5" x14ac:dyDescent="0.2">
      <c r="A12">
        <v>12</v>
      </c>
      <c r="B12" s="1">
        <v>0.19</v>
      </c>
      <c r="D12" s="1" t="s">
        <v>1</v>
      </c>
      <c r="E12" s="1">
        <f>MAX(B1:B70)</f>
        <v>0.19400000000000001</v>
      </c>
    </row>
    <row r="13" spans="1:5" x14ac:dyDescent="0.2">
      <c r="A13">
        <v>13</v>
      </c>
      <c r="B13" s="1">
        <v>0.193</v>
      </c>
      <c r="D13" s="1" t="s">
        <v>2</v>
      </c>
      <c r="E13" s="1">
        <f>AVERAGE(B1:B70)</f>
        <v>0.1901428571428572</v>
      </c>
    </row>
    <row r="14" spans="1:5" x14ac:dyDescent="0.2">
      <c r="A14">
        <v>14</v>
      </c>
      <c r="B14" s="1">
        <v>0.189</v>
      </c>
    </row>
    <row r="15" spans="1:5" x14ac:dyDescent="0.2">
      <c r="A15">
        <v>15</v>
      </c>
      <c r="B15" s="1">
        <v>0.191</v>
      </c>
    </row>
    <row r="16" spans="1:5" x14ac:dyDescent="0.2">
      <c r="A16">
        <v>16</v>
      </c>
      <c r="B16" s="1">
        <v>0.19400000000000001</v>
      </c>
    </row>
    <row r="17" spans="1:5" x14ac:dyDescent="0.2">
      <c r="A17">
        <v>17</v>
      </c>
      <c r="B17" s="1">
        <v>0.191</v>
      </c>
    </row>
    <row r="18" spans="1:5" x14ac:dyDescent="0.2">
      <c r="A18">
        <v>18</v>
      </c>
      <c r="B18" s="1">
        <v>0.189</v>
      </c>
    </row>
    <row r="19" spans="1:5" x14ac:dyDescent="0.2">
      <c r="A19">
        <v>19</v>
      </c>
      <c r="B19" s="1">
        <v>0.19</v>
      </c>
    </row>
    <row r="20" spans="1:5" x14ac:dyDescent="0.2">
      <c r="A20">
        <v>20</v>
      </c>
      <c r="B20" s="1">
        <v>0.188</v>
      </c>
    </row>
    <row r="21" spans="1:5" x14ac:dyDescent="0.2">
      <c r="A21">
        <v>21</v>
      </c>
      <c r="B21" s="1">
        <v>0.191</v>
      </c>
    </row>
    <row r="22" spans="1:5" x14ac:dyDescent="0.2">
      <c r="A22">
        <v>22</v>
      </c>
      <c r="B22" s="1">
        <v>0.192</v>
      </c>
    </row>
    <row r="23" spans="1:5" x14ac:dyDescent="0.2">
      <c r="A23">
        <v>23</v>
      </c>
      <c r="B23" s="1">
        <v>0.191</v>
      </c>
    </row>
    <row r="24" spans="1:5" x14ac:dyDescent="0.2">
      <c r="A24">
        <v>24</v>
      </c>
      <c r="B24" s="1">
        <v>0.19</v>
      </c>
    </row>
    <row r="25" spans="1:5" x14ac:dyDescent="0.2">
      <c r="A25">
        <v>25</v>
      </c>
      <c r="B25" s="1">
        <v>0.188</v>
      </c>
    </row>
    <row r="26" spans="1:5" x14ac:dyDescent="0.2">
      <c r="A26">
        <v>26</v>
      </c>
      <c r="B26" s="1">
        <v>0.187</v>
      </c>
    </row>
    <row r="27" spans="1:5" x14ac:dyDescent="0.2">
      <c r="A27">
        <v>27</v>
      </c>
      <c r="B27" s="1">
        <v>0.186</v>
      </c>
    </row>
    <row r="28" spans="1:5" x14ac:dyDescent="0.2">
      <c r="A28">
        <v>28</v>
      </c>
      <c r="B28" s="1">
        <v>0.189</v>
      </c>
    </row>
    <row r="29" spans="1:5" x14ac:dyDescent="0.2">
      <c r="A29">
        <v>29</v>
      </c>
      <c r="B29" s="1">
        <v>0.188</v>
      </c>
      <c r="D29" s="1" t="s">
        <v>4</v>
      </c>
      <c r="E29" s="1" t="s">
        <v>3</v>
      </c>
    </row>
    <row r="30" spans="1:5" x14ac:dyDescent="0.2">
      <c r="A30">
        <v>30</v>
      </c>
      <c r="B30" s="1">
        <v>0.191</v>
      </c>
      <c r="D30" s="1">
        <v>0.186</v>
      </c>
      <c r="E30" s="1" cm="1">
        <f t="array" ref="E30:E39">FREQUENCY(B1:B70,D30:D38)</f>
        <v>2</v>
      </c>
    </row>
    <row r="31" spans="1:5" x14ac:dyDescent="0.2">
      <c r="A31">
        <v>31</v>
      </c>
      <c r="B31" s="1">
        <v>0.189</v>
      </c>
      <c r="D31" s="1">
        <v>0.187</v>
      </c>
      <c r="E31" s="1">
        <v>6</v>
      </c>
    </row>
    <row r="32" spans="1:5" x14ac:dyDescent="0.2">
      <c r="A32">
        <v>32</v>
      </c>
      <c r="B32" s="1">
        <v>0.19</v>
      </c>
      <c r="D32" s="1">
        <v>0.188</v>
      </c>
      <c r="E32" s="1">
        <v>6</v>
      </c>
    </row>
    <row r="33" spans="1:5" x14ac:dyDescent="0.2">
      <c r="A33">
        <v>33</v>
      </c>
      <c r="B33" s="1">
        <v>0.186</v>
      </c>
      <c r="D33" s="1">
        <v>0.189</v>
      </c>
      <c r="E33" s="1">
        <v>12</v>
      </c>
    </row>
    <row r="34" spans="1:5" x14ac:dyDescent="0.2">
      <c r="A34">
        <v>34</v>
      </c>
      <c r="B34" s="1">
        <v>0.189</v>
      </c>
      <c r="D34" s="1">
        <v>0.19</v>
      </c>
      <c r="E34" s="1">
        <v>14</v>
      </c>
    </row>
    <row r="35" spans="1:5" x14ac:dyDescent="0.2">
      <c r="A35">
        <v>35</v>
      </c>
      <c r="B35" s="1">
        <v>0.191</v>
      </c>
      <c r="D35" s="1">
        <v>0.191</v>
      </c>
      <c r="E35" s="1">
        <v>13</v>
      </c>
    </row>
    <row r="36" spans="1:5" x14ac:dyDescent="0.2">
      <c r="A36">
        <v>36</v>
      </c>
      <c r="B36" s="1">
        <v>0.193</v>
      </c>
      <c r="D36" s="1">
        <v>0.192</v>
      </c>
      <c r="E36" s="1">
        <v>8</v>
      </c>
    </row>
    <row r="37" spans="1:5" x14ac:dyDescent="0.2">
      <c r="A37">
        <v>37</v>
      </c>
      <c r="B37" s="1">
        <v>0.187</v>
      </c>
      <c r="D37" s="1">
        <v>0.193</v>
      </c>
      <c r="E37" s="1">
        <v>5</v>
      </c>
    </row>
    <row r="38" spans="1:5" x14ac:dyDescent="0.2">
      <c r="A38">
        <v>38</v>
      </c>
      <c r="B38" s="1">
        <v>0.19</v>
      </c>
      <c r="D38" s="1">
        <v>0.19400000000000001</v>
      </c>
      <c r="E38" s="1">
        <v>4</v>
      </c>
    </row>
    <row r="39" spans="1:5" x14ac:dyDescent="0.2">
      <c r="A39">
        <v>39</v>
      </c>
      <c r="B39" s="1">
        <v>0.193</v>
      </c>
      <c r="D39" s="1"/>
      <c r="E39" s="1">
        <v>0</v>
      </c>
    </row>
    <row r="40" spans="1:5" x14ac:dyDescent="0.2">
      <c r="A40">
        <v>40</v>
      </c>
      <c r="B40" s="1">
        <v>0.19</v>
      </c>
    </row>
    <row r="41" spans="1:5" x14ac:dyDescent="0.2">
      <c r="A41">
        <v>41</v>
      </c>
      <c r="B41" s="1">
        <v>0.19</v>
      </c>
    </row>
    <row r="42" spans="1:5" x14ac:dyDescent="0.2">
      <c r="A42">
        <v>42</v>
      </c>
      <c r="B42" s="1">
        <v>0.19</v>
      </c>
    </row>
    <row r="43" spans="1:5" x14ac:dyDescent="0.2">
      <c r="A43">
        <v>43</v>
      </c>
      <c r="B43" s="1">
        <v>0.192</v>
      </c>
    </row>
    <row r="44" spans="1:5" x14ac:dyDescent="0.2">
      <c r="A44">
        <v>44</v>
      </c>
      <c r="B44" s="1">
        <v>0.189</v>
      </c>
    </row>
    <row r="45" spans="1:5" x14ac:dyDescent="0.2">
      <c r="A45">
        <v>45</v>
      </c>
      <c r="B45" s="1">
        <v>0.19400000000000001</v>
      </c>
    </row>
    <row r="46" spans="1:5" x14ac:dyDescent="0.2">
      <c r="A46">
        <v>46</v>
      </c>
      <c r="B46" s="1">
        <v>0.191</v>
      </c>
    </row>
    <row r="47" spans="1:5" x14ac:dyDescent="0.2">
      <c r="A47">
        <v>47</v>
      </c>
      <c r="B47" s="1">
        <v>0.192</v>
      </c>
    </row>
    <row r="48" spans="1:5" x14ac:dyDescent="0.2">
      <c r="A48">
        <v>48</v>
      </c>
      <c r="B48" s="1">
        <v>0.191</v>
      </c>
    </row>
    <row r="49" spans="1:5" x14ac:dyDescent="0.2">
      <c r="A49">
        <v>49</v>
      </c>
      <c r="B49" s="1">
        <v>0.189</v>
      </c>
    </row>
    <row r="50" spans="1:5" x14ac:dyDescent="0.2">
      <c r="A50">
        <v>50</v>
      </c>
      <c r="B50" s="1">
        <v>0.189</v>
      </c>
    </row>
    <row r="51" spans="1:5" x14ac:dyDescent="0.2">
      <c r="A51">
        <v>51</v>
      </c>
      <c r="B51" s="1">
        <v>0.189</v>
      </c>
      <c r="D51" t="s">
        <v>7</v>
      </c>
      <c r="E51" t="s">
        <v>3</v>
      </c>
    </row>
    <row r="52" spans="1:5" x14ac:dyDescent="0.2">
      <c r="A52">
        <v>52</v>
      </c>
      <c r="B52" s="1">
        <v>0.187</v>
      </c>
      <c r="D52">
        <v>0.186</v>
      </c>
      <c r="E52" cm="1">
        <f t="array" ref="E52:E57">FREQUENCY(B1:B70,D52:D56)</f>
        <v>2</v>
      </c>
    </row>
    <row r="53" spans="1:5" x14ac:dyDescent="0.2">
      <c r="A53">
        <v>53</v>
      </c>
      <c r="B53" s="1">
        <v>0.191</v>
      </c>
      <c r="D53">
        <v>0.188</v>
      </c>
      <c r="E53">
        <v>12</v>
      </c>
    </row>
    <row r="54" spans="1:5" x14ac:dyDescent="0.2">
      <c r="A54">
        <v>54</v>
      </c>
      <c r="B54" s="1">
        <v>0.191</v>
      </c>
      <c r="D54">
        <v>0.19</v>
      </c>
      <c r="E54">
        <v>26</v>
      </c>
    </row>
    <row r="55" spans="1:5" x14ac:dyDescent="0.2">
      <c r="A55">
        <v>55</v>
      </c>
      <c r="B55" s="1">
        <v>0.189</v>
      </c>
      <c r="D55">
        <v>0.192</v>
      </c>
      <c r="E55">
        <v>21</v>
      </c>
    </row>
    <row r="56" spans="1:5" x14ac:dyDescent="0.2">
      <c r="A56">
        <v>56</v>
      </c>
      <c r="B56" s="1">
        <v>0.19</v>
      </c>
      <c r="D56">
        <v>0.19400000000000001</v>
      </c>
      <c r="E56">
        <v>9</v>
      </c>
    </row>
    <row r="57" spans="1:5" x14ac:dyDescent="0.2">
      <c r="A57">
        <v>57</v>
      </c>
      <c r="B57" s="1">
        <v>0.191</v>
      </c>
      <c r="E57">
        <v>0</v>
      </c>
    </row>
    <row r="58" spans="1:5" x14ac:dyDescent="0.2">
      <c r="A58">
        <v>58</v>
      </c>
      <c r="B58" s="1">
        <v>0.187</v>
      </c>
    </row>
    <row r="59" spans="1:5" x14ac:dyDescent="0.2">
      <c r="A59">
        <v>59</v>
      </c>
      <c r="B59" s="1">
        <v>0.187</v>
      </c>
    </row>
    <row r="60" spans="1:5" x14ac:dyDescent="0.2">
      <c r="A60">
        <v>60</v>
      </c>
      <c r="B60" s="1">
        <v>0.193</v>
      </c>
    </row>
    <row r="61" spans="1:5" x14ac:dyDescent="0.2">
      <c r="A61">
        <v>61</v>
      </c>
      <c r="B61" s="1">
        <v>0.19</v>
      </c>
    </row>
    <row r="62" spans="1:5" x14ac:dyDescent="0.2">
      <c r="A62">
        <v>62</v>
      </c>
      <c r="B62" s="1">
        <v>0.192</v>
      </c>
    </row>
    <row r="63" spans="1:5" x14ac:dyDescent="0.2">
      <c r="A63">
        <v>63</v>
      </c>
      <c r="B63" s="1">
        <v>0.191</v>
      </c>
    </row>
    <row r="64" spans="1:5" x14ac:dyDescent="0.2">
      <c r="A64">
        <v>64</v>
      </c>
      <c r="B64" s="1">
        <v>0.188</v>
      </c>
    </row>
    <row r="65" spans="1:2" x14ac:dyDescent="0.2">
      <c r="A65">
        <v>65</v>
      </c>
      <c r="B65" s="1">
        <v>0.187</v>
      </c>
    </row>
    <row r="66" spans="1:2" x14ac:dyDescent="0.2">
      <c r="A66">
        <v>66</v>
      </c>
      <c r="B66" s="1">
        <v>0.191</v>
      </c>
    </row>
    <row r="67" spans="1:2" x14ac:dyDescent="0.2">
      <c r="A67">
        <v>67</v>
      </c>
      <c r="B67" s="1">
        <v>0.19</v>
      </c>
    </row>
    <row r="68" spans="1:2" x14ac:dyDescent="0.2">
      <c r="A68">
        <v>68</v>
      </c>
      <c r="B68" s="1">
        <v>0.192</v>
      </c>
    </row>
    <row r="69" spans="1:2" x14ac:dyDescent="0.2">
      <c r="A69">
        <v>69</v>
      </c>
      <c r="B69" s="1">
        <v>0.188</v>
      </c>
    </row>
    <row r="70" spans="1:2" x14ac:dyDescent="0.2">
      <c r="A70">
        <v>70</v>
      </c>
      <c r="B70" s="1">
        <v>0.189</v>
      </c>
    </row>
    <row r="83" spans="4:5" x14ac:dyDescent="0.2">
      <c r="D83" t="s">
        <v>8</v>
      </c>
      <c r="E83" t="s">
        <v>3</v>
      </c>
    </row>
    <row r="84" spans="4:5" x14ac:dyDescent="0.2">
      <c r="D84">
        <v>0.186</v>
      </c>
      <c r="E84" cm="1">
        <f t="array" ref="E84:E94">FREQUENCY(B1:B70,D84:D93)</f>
        <v>2</v>
      </c>
    </row>
    <row r="85" spans="4:5" x14ac:dyDescent="0.2">
      <c r="D85">
        <f>D84+($D$93-$D$84)/9</f>
        <v>0.18688888888888888</v>
      </c>
      <c r="E85">
        <v>0</v>
      </c>
    </row>
    <row r="86" spans="4:5" x14ac:dyDescent="0.2">
      <c r="D86">
        <f>D85+($D$93-$D$84)/9</f>
        <v>0.18777777777777777</v>
      </c>
      <c r="E86">
        <v>6</v>
      </c>
    </row>
    <row r="87" spans="4:5" x14ac:dyDescent="0.2">
      <c r="D87">
        <f t="shared" ref="D87:D92" si="0">D86+($D$93-$D$84)/9</f>
        <v>0.18866666666666665</v>
      </c>
      <c r="E87">
        <v>6</v>
      </c>
    </row>
    <row r="88" spans="4:5" x14ac:dyDescent="0.2">
      <c r="D88">
        <f t="shared" si="0"/>
        <v>0.18955555555555553</v>
      </c>
      <c r="E88">
        <v>12</v>
      </c>
    </row>
    <row r="89" spans="4:5" x14ac:dyDescent="0.2">
      <c r="D89">
        <f t="shared" si="0"/>
        <v>0.19044444444444442</v>
      </c>
      <c r="E89">
        <v>14</v>
      </c>
    </row>
    <row r="90" spans="4:5" x14ac:dyDescent="0.2">
      <c r="D90">
        <f t="shared" si="0"/>
        <v>0.1913333333333333</v>
      </c>
      <c r="E90">
        <v>13</v>
      </c>
    </row>
    <row r="91" spans="4:5" x14ac:dyDescent="0.2">
      <c r="D91">
        <f t="shared" si="0"/>
        <v>0.19222222222222218</v>
      </c>
      <c r="E91">
        <v>8</v>
      </c>
    </row>
    <row r="92" spans="4:5" x14ac:dyDescent="0.2">
      <c r="D92">
        <f t="shared" si="0"/>
        <v>0.19311111111111107</v>
      </c>
      <c r="E92">
        <v>5</v>
      </c>
    </row>
    <row r="93" spans="4:5" x14ac:dyDescent="0.2">
      <c r="D93">
        <v>0.19400000000000001</v>
      </c>
      <c r="E93">
        <v>4</v>
      </c>
    </row>
    <row r="94" spans="4:5" x14ac:dyDescent="0.2">
      <c r="E94">
        <v>0</v>
      </c>
    </row>
    <row r="110" spans="4:5" x14ac:dyDescent="0.2">
      <c r="D110" t="s">
        <v>6</v>
      </c>
      <c r="E110" t="s">
        <v>3</v>
      </c>
    </row>
    <row r="111" spans="4:5" x14ac:dyDescent="0.2">
      <c r="D111">
        <v>0.186</v>
      </c>
      <c r="E111" cm="1">
        <f t="array" ref="E111:E126">FREQUENCY(B1:B70,D111:D125)</f>
        <v>2</v>
      </c>
    </row>
    <row r="112" spans="4:5" x14ac:dyDescent="0.2">
      <c r="D112">
        <f>D111+($D$125-$D$111)/14</f>
        <v>0.18657142857142858</v>
      </c>
      <c r="E112">
        <v>0</v>
      </c>
    </row>
    <row r="113" spans="4:5" x14ac:dyDescent="0.2">
      <c r="D113">
        <f>D112+($D$125-$D$111)/14</f>
        <v>0.18714285714285717</v>
      </c>
      <c r="E113">
        <v>6</v>
      </c>
    </row>
    <row r="114" spans="4:5" x14ac:dyDescent="0.2">
      <c r="D114">
        <f t="shared" ref="D114:D124" si="1">D113+($D$125-$D$111)/14</f>
        <v>0.18771428571428575</v>
      </c>
      <c r="E114">
        <v>0</v>
      </c>
    </row>
    <row r="115" spans="4:5" x14ac:dyDescent="0.2">
      <c r="D115">
        <f t="shared" si="1"/>
        <v>0.18828571428571433</v>
      </c>
      <c r="E115">
        <v>6</v>
      </c>
    </row>
    <row r="116" spans="4:5" x14ac:dyDescent="0.2">
      <c r="D116">
        <f t="shared" si="1"/>
        <v>0.18885714285714292</v>
      </c>
      <c r="E116">
        <v>0</v>
      </c>
    </row>
    <row r="117" spans="4:5" x14ac:dyDescent="0.2">
      <c r="D117">
        <f t="shared" si="1"/>
        <v>0.1894285714285715</v>
      </c>
      <c r="E117">
        <v>12</v>
      </c>
    </row>
    <row r="118" spans="4:5" x14ac:dyDescent="0.2">
      <c r="D118">
        <f t="shared" si="1"/>
        <v>0.19000000000000009</v>
      </c>
      <c r="E118">
        <v>14</v>
      </c>
    </row>
    <row r="119" spans="4:5" x14ac:dyDescent="0.2">
      <c r="D119">
        <f t="shared" si="1"/>
        <v>0.19057142857142867</v>
      </c>
      <c r="E119">
        <v>0</v>
      </c>
    </row>
    <row r="120" spans="4:5" x14ac:dyDescent="0.2">
      <c r="D120">
        <f t="shared" si="1"/>
        <v>0.19114285714285725</v>
      </c>
      <c r="E120">
        <v>13</v>
      </c>
    </row>
    <row r="121" spans="4:5" x14ac:dyDescent="0.2">
      <c r="D121">
        <f t="shared" si="1"/>
        <v>0.19171428571428584</v>
      </c>
      <c r="E121">
        <v>0</v>
      </c>
    </row>
    <row r="122" spans="4:5" x14ac:dyDescent="0.2">
      <c r="D122">
        <f t="shared" si="1"/>
        <v>0.19228571428571442</v>
      </c>
      <c r="E122">
        <v>8</v>
      </c>
    </row>
    <row r="123" spans="4:5" x14ac:dyDescent="0.2">
      <c r="D123">
        <f t="shared" si="1"/>
        <v>0.192857142857143</v>
      </c>
      <c r="E123">
        <v>0</v>
      </c>
    </row>
    <row r="124" spans="4:5" x14ac:dyDescent="0.2">
      <c r="D124">
        <f t="shared" si="1"/>
        <v>0.19342857142857159</v>
      </c>
      <c r="E124">
        <v>5</v>
      </c>
    </row>
    <row r="125" spans="4:5" x14ac:dyDescent="0.2">
      <c r="D125">
        <v>0.19400000000000001</v>
      </c>
      <c r="E125">
        <v>4</v>
      </c>
    </row>
    <row r="126" spans="4:5" x14ac:dyDescent="0.2">
      <c r="E12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Arkusz1!dane_19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Ludwiczak</dc:creator>
  <cp:lastModifiedBy>Adam Ludwiczak</cp:lastModifiedBy>
  <dcterms:created xsi:type="dcterms:W3CDTF">2021-11-28T11:28:37Z</dcterms:created>
  <dcterms:modified xsi:type="dcterms:W3CDTF">2022-01-11T20:53:32Z</dcterms:modified>
</cp:coreProperties>
</file>