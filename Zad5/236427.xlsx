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0" documentId="13_ncr:1_{D4E18FA0-53BA-4A2F-A045-B4D4CDE001F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Arkusz1" sheetId="2" r:id="rId1"/>
    <sheet name="Sheet1" sheetId="1" r:id="rId2"/>
  </sheets>
  <definedNames>
    <definedName name="DaneZewnętrzne_1" localSheetId="0" hidden="1">Arkusz1!$A$1:$A$1002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  <c r="L8" i="2"/>
  <c r="L7" i="2"/>
  <c r="K7" i="2"/>
  <c r="K8" i="2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2" i="2"/>
  <c r="J2" i="2"/>
  <c r="I2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3" i="2"/>
  <c r="G4" i="2"/>
  <c r="G5" i="2"/>
  <c r="G6" i="2"/>
  <c r="G7" i="2"/>
  <c r="G2" i="2"/>
  <c r="G1" i="2" l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FBAA9B-6B2F-45B8-A571-8955EF957109}" keepAlive="1" name="Zapytanie — dane_7" description="Połączenie z zapytaniem „dane_7” w skoroszycie." type="5" refreshedVersion="6" background="1" saveData="1">
    <dbPr connection="Provider=Microsoft.Mashup.OleDb.1;Data Source=$Workbook$;Location=dane_7;Extended Properties=&quot;&quot;" command="SELECT * FROM [dane_7]"/>
  </connection>
</connections>
</file>

<file path=xl/sharedStrings.xml><?xml version="1.0" encoding="utf-8"?>
<sst xmlns="http://schemas.openxmlformats.org/spreadsheetml/2006/main" count="14" uniqueCount="14">
  <si>
    <t>Dane wejściowe</t>
  </si>
  <si>
    <t>Dane wejściowe posortowane</t>
  </si>
  <si>
    <t>Logarytm naturalny</t>
  </si>
  <si>
    <t>Liczność</t>
  </si>
  <si>
    <t>Nr próbki</t>
  </si>
  <si>
    <t>Prawdopodob. Skumul.</t>
  </si>
  <si>
    <t>Wartość standaryzowana</t>
  </si>
  <si>
    <t>Wartość średnia</t>
  </si>
  <si>
    <t>Odch. Standardowe</t>
  </si>
  <si>
    <t>σ</t>
  </si>
  <si>
    <t>Metoda graficzn</t>
  </si>
  <si>
    <t>Metoda punktowa</t>
  </si>
  <si>
    <t>µ</t>
  </si>
  <si>
    <t>Dystrybuanta teoretyczna rozkładu 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</si>
</sst>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2" fontId="0" fillId="0" borderId="1" xfId="0" applyNumberFormat="1" applyBorder="1"/>
    <xf numFmtId="0" fontId="1" fillId="3" borderId="1" xfId="0" applyFont="1" applyFill="1" applyBorder="1" applyAlignment="1">
      <alignment horizontal="center"/>
    </xf>
  </cellXfs>
  <cellStyles count="1">
    <cellStyle name="Normalny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Prawdopodobieństwo</a:t>
            </a:r>
            <a:r>
              <a:rPr lang="pl-PL" baseline="0"/>
              <a:t> skumulowane</a:t>
            </a:r>
          </a:p>
        </c:rich>
      </c:tx>
      <c:layout>
        <c:manualLayout>
          <c:xMode val="edge"/>
          <c:yMode val="edge"/>
          <c:x val="0.2043748906386701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ln(x)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Arkusz1!$C$2:$C$1001</c:f>
              <c:numCache>
                <c:formatCode>General</c:formatCode>
                <c:ptCount val="1000"/>
                <c:pt idx="0">
                  <c:v>5.9661467391236922</c:v>
                </c:pt>
                <c:pt idx="1">
                  <c:v>5.9676840184425783</c:v>
                </c:pt>
                <c:pt idx="2">
                  <c:v>5.9679400020610247</c:v>
                </c:pt>
                <c:pt idx="3">
                  <c:v>5.9692189381606626</c:v>
                </c:pt>
                <c:pt idx="4">
                  <c:v>5.9694745292163667</c:v>
                </c:pt>
                <c:pt idx="5">
                  <c:v>5.9702409106563552</c:v>
                </c:pt>
                <c:pt idx="6">
                  <c:v>5.9704962406717854</c:v>
                </c:pt>
                <c:pt idx="7">
                  <c:v>5.9707515055104405</c:v>
                </c:pt>
                <c:pt idx="8">
                  <c:v>5.9707515055104405</c:v>
                </c:pt>
                <c:pt idx="9">
                  <c:v>5.9707515055104405</c:v>
                </c:pt>
                <c:pt idx="10">
                  <c:v>5.9712618397904622</c:v>
                </c:pt>
                <c:pt idx="11">
                  <c:v>5.9712618397904622</c:v>
                </c:pt>
                <c:pt idx="12">
                  <c:v>5.9715169092982858</c:v>
                </c:pt>
                <c:pt idx="13">
                  <c:v>5.9717719137622458</c:v>
                </c:pt>
                <c:pt idx="14">
                  <c:v>5.9720268532155067</c:v>
                </c:pt>
                <c:pt idx="15">
                  <c:v>5.9720268532155067</c:v>
                </c:pt>
                <c:pt idx="16">
                  <c:v>5.9722817276912084</c:v>
                </c:pt>
                <c:pt idx="17">
                  <c:v>5.9722817276912084</c:v>
                </c:pt>
                <c:pt idx="18">
                  <c:v>5.9725365372224628</c:v>
                </c:pt>
                <c:pt idx="19">
                  <c:v>5.9730459615839635</c:v>
                </c:pt>
                <c:pt idx="20">
                  <c:v>5.9730459615839635</c:v>
                </c:pt>
                <c:pt idx="21">
                  <c:v>5.9733005764803107</c:v>
                </c:pt>
                <c:pt idx="22">
                  <c:v>5.9733005764803107</c:v>
                </c:pt>
                <c:pt idx="23">
                  <c:v>5.9735551265644142</c:v>
                </c:pt>
                <c:pt idx="24">
                  <c:v>5.9740640324278145</c:v>
                </c:pt>
                <c:pt idx="25">
                  <c:v>5.9740640324278145</c:v>
                </c:pt>
                <c:pt idx="26">
                  <c:v>5.9740640324278145</c:v>
                </c:pt>
                <c:pt idx="27">
                  <c:v>5.9748269059549584</c:v>
                </c:pt>
                <c:pt idx="28">
                  <c:v>5.9750810678574577</c:v>
                </c:pt>
                <c:pt idx="29">
                  <c:v>5.9750810678574577</c:v>
                </c:pt>
                <c:pt idx="30">
                  <c:v>5.9753351651780982</c:v>
                </c:pt>
                <c:pt idx="31">
                  <c:v>5.9753351651780982</c:v>
                </c:pt>
                <c:pt idx="32">
                  <c:v>5.9755891979496916</c:v>
                </c:pt>
                <c:pt idx="33">
                  <c:v>5.9758431662050251</c:v>
                </c:pt>
                <c:pt idx="34">
                  <c:v>5.9760970699768601</c:v>
                </c:pt>
                <c:pt idx="35">
                  <c:v>5.9760970699768601</c:v>
                </c:pt>
                <c:pt idx="36">
                  <c:v>5.9760970699768601</c:v>
                </c:pt>
                <c:pt idx="37">
                  <c:v>5.9763509092979339</c:v>
                </c:pt>
                <c:pt idx="38">
                  <c:v>5.9763509092979339</c:v>
                </c:pt>
                <c:pt idx="39">
                  <c:v>5.9766046842009581</c:v>
                </c:pt>
                <c:pt idx="40">
                  <c:v>5.9766046842009581</c:v>
                </c:pt>
                <c:pt idx="41">
                  <c:v>5.9766046842009581</c:v>
                </c:pt>
                <c:pt idx="42">
                  <c:v>5.9766046842009581</c:v>
                </c:pt>
                <c:pt idx="43">
                  <c:v>5.9768583947186196</c:v>
                </c:pt>
                <c:pt idx="44">
                  <c:v>5.9768583947186196</c:v>
                </c:pt>
                <c:pt idx="45">
                  <c:v>5.9768583947186196</c:v>
                </c:pt>
                <c:pt idx="46">
                  <c:v>5.9771120408835818</c:v>
                </c:pt>
                <c:pt idx="47">
                  <c:v>5.9771120408835818</c:v>
                </c:pt>
                <c:pt idx="48">
                  <c:v>5.9771120408835818</c:v>
                </c:pt>
                <c:pt idx="49">
                  <c:v>5.9773656227284802</c:v>
                </c:pt>
                <c:pt idx="50">
                  <c:v>5.9773656227284802</c:v>
                </c:pt>
                <c:pt idx="51">
                  <c:v>5.9773656227284802</c:v>
                </c:pt>
                <c:pt idx="52">
                  <c:v>5.9773656227284802</c:v>
                </c:pt>
                <c:pt idx="53">
                  <c:v>5.9773656227284802</c:v>
                </c:pt>
                <c:pt idx="54">
                  <c:v>5.9773656227284802</c:v>
                </c:pt>
                <c:pt idx="55">
                  <c:v>5.9776191402859293</c:v>
                </c:pt>
                <c:pt idx="56">
                  <c:v>5.9776191402859293</c:v>
                </c:pt>
                <c:pt idx="57">
                  <c:v>5.9776191402859293</c:v>
                </c:pt>
                <c:pt idx="58">
                  <c:v>5.9776191402859293</c:v>
                </c:pt>
                <c:pt idx="59">
                  <c:v>5.9776191402859293</c:v>
                </c:pt>
                <c:pt idx="60">
                  <c:v>5.9778725935885149</c:v>
                </c:pt>
                <c:pt idx="61">
                  <c:v>5.9781259826688018</c:v>
                </c:pt>
                <c:pt idx="62">
                  <c:v>5.9781259826688018</c:v>
                </c:pt>
                <c:pt idx="63">
                  <c:v>5.9781259826688018</c:v>
                </c:pt>
                <c:pt idx="64">
                  <c:v>5.9781259826688018</c:v>
                </c:pt>
                <c:pt idx="65">
                  <c:v>5.9783793075593268</c:v>
                </c:pt>
                <c:pt idx="66">
                  <c:v>5.9783793075593268</c:v>
                </c:pt>
                <c:pt idx="67">
                  <c:v>5.9783793075593268</c:v>
                </c:pt>
                <c:pt idx="68">
                  <c:v>5.9783793075593268</c:v>
                </c:pt>
                <c:pt idx="69">
                  <c:v>5.9783793075593268</c:v>
                </c:pt>
                <c:pt idx="70">
                  <c:v>5.9786325682926034</c:v>
                </c:pt>
                <c:pt idx="71">
                  <c:v>5.9786325682926034</c:v>
                </c:pt>
                <c:pt idx="72">
                  <c:v>5.9786325682926034</c:v>
                </c:pt>
                <c:pt idx="73">
                  <c:v>5.9786325682926034</c:v>
                </c:pt>
                <c:pt idx="74">
                  <c:v>5.9786325682926034</c:v>
                </c:pt>
                <c:pt idx="75">
                  <c:v>5.9786325682926034</c:v>
                </c:pt>
                <c:pt idx="76">
                  <c:v>5.9786325682926034</c:v>
                </c:pt>
                <c:pt idx="77">
                  <c:v>5.978885764901122</c:v>
                </c:pt>
                <c:pt idx="78">
                  <c:v>5.978885764901122</c:v>
                </c:pt>
                <c:pt idx="79">
                  <c:v>5.978885764901122</c:v>
                </c:pt>
                <c:pt idx="80">
                  <c:v>5.978885764901122</c:v>
                </c:pt>
                <c:pt idx="81">
                  <c:v>5.9791388974173447</c:v>
                </c:pt>
                <c:pt idx="82">
                  <c:v>5.9791388974173447</c:v>
                </c:pt>
                <c:pt idx="83">
                  <c:v>5.9791388974173447</c:v>
                </c:pt>
                <c:pt idx="84">
                  <c:v>5.9791388974173447</c:v>
                </c:pt>
                <c:pt idx="85">
                  <c:v>5.9791388974173447</c:v>
                </c:pt>
                <c:pt idx="86">
                  <c:v>5.9793919658737131</c:v>
                </c:pt>
                <c:pt idx="87">
                  <c:v>5.9793919658737131</c:v>
                </c:pt>
                <c:pt idx="88">
                  <c:v>5.9793919658737131</c:v>
                </c:pt>
                <c:pt idx="89">
                  <c:v>5.9793919658737131</c:v>
                </c:pt>
                <c:pt idx="90">
                  <c:v>5.9801507872077089</c:v>
                </c:pt>
                <c:pt idx="91">
                  <c:v>5.9804035997485574</c:v>
                </c:pt>
                <c:pt idx="92">
                  <c:v>5.9806563483913786</c:v>
                </c:pt>
                <c:pt idx="93">
                  <c:v>5.9806563483913786</c:v>
                </c:pt>
                <c:pt idx="94">
                  <c:v>5.9806563483913786</c:v>
                </c:pt>
                <c:pt idx="95">
                  <c:v>5.9809090331684658</c:v>
                </c:pt>
                <c:pt idx="96">
                  <c:v>5.9811616541120847</c:v>
                </c:pt>
                <c:pt idx="97">
                  <c:v>5.9811616541120847</c:v>
                </c:pt>
                <c:pt idx="98">
                  <c:v>5.9811616541120847</c:v>
                </c:pt>
                <c:pt idx="99">
                  <c:v>5.9814142112544806</c:v>
                </c:pt>
                <c:pt idx="100">
                  <c:v>5.9816667046278713</c:v>
                </c:pt>
                <c:pt idx="101">
                  <c:v>5.9821715001963893</c:v>
                </c:pt>
                <c:pt idx="102">
                  <c:v>5.9824238024558332</c:v>
                </c:pt>
                <c:pt idx="103">
                  <c:v>5.9824238024558332</c:v>
                </c:pt>
                <c:pt idx="104">
                  <c:v>5.9824238024558332</c:v>
                </c:pt>
                <c:pt idx="105">
                  <c:v>5.9826760410749023</c:v>
                </c:pt>
                <c:pt idx="106">
                  <c:v>5.9829282160856954</c:v>
                </c:pt>
                <c:pt idx="107">
                  <c:v>5.9829282160856954</c:v>
                </c:pt>
                <c:pt idx="108">
                  <c:v>5.9829282160856954</c:v>
                </c:pt>
                <c:pt idx="109">
                  <c:v>5.9831803275202846</c:v>
                </c:pt>
                <c:pt idx="110">
                  <c:v>5.9831803275202846</c:v>
                </c:pt>
                <c:pt idx="111">
                  <c:v>5.9831803275202846</c:v>
                </c:pt>
                <c:pt idx="112">
                  <c:v>5.9834323754107182</c:v>
                </c:pt>
                <c:pt idx="113">
                  <c:v>5.9836843597890192</c:v>
                </c:pt>
                <c:pt idx="114">
                  <c:v>5.9836843597890192</c:v>
                </c:pt>
                <c:pt idx="115">
                  <c:v>5.9836843597890192</c:v>
                </c:pt>
                <c:pt idx="116">
                  <c:v>5.9836843597890192</c:v>
                </c:pt>
                <c:pt idx="117">
                  <c:v>5.9836843597890192</c:v>
                </c:pt>
                <c:pt idx="118">
                  <c:v>5.9839362806871907</c:v>
                </c:pt>
                <c:pt idx="119">
                  <c:v>5.9839362806871907</c:v>
                </c:pt>
                <c:pt idx="120">
                  <c:v>5.9839362806871907</c:v>
                </c:pt>
                <c:pt idx="121">
                  <c:v>5.9839362806871907</c:v>
                </c:pt>
                <c:pt idx="122">
                  <c:v>5.9839362806871907</c:v>
                </c:pt>
                <c:pt idx="123">
                  <c:v>5.9841881381372062</c:v>
                </c:pt>
                <c:pt idx="124">
                  <c:v>5.9841881381372062</c:v>
                </c:pt>
                <c:pt idx="125">
                  <c:v>5.9841881381372062</c:v>
                </c:pt>
                <c:pt idx="126">
                  <c:v>5.9841881381372062</c:v>
                </c:pt>
                <c:pt idx="127">
                  <c:v>5.9841881381372062</c:v>
                </c:pt>
                <c:pt idx="128">
                  <c:v>5.9844399321710178</c:v>
                </c:pt>
                <c:pt idx="129">
                  <c:v>5.9844399321710178</c:v>
                </c:pt>
                <c:pt idx="130">
                  <c:v>5.9844399321710178</c:v>
                </c:pt>
                <c:pt idx="131">
                  <c:v>5.9844399321710178</c:v>
                </c:pt>
                <c:pt idx="132">
                  <c:v>5.9846916628205529</c:v>
                </c:pt>
                <c:pt idx="133">
                  <c:v>5.9849433301177166</c:v>
                </c:pt>
                <c:pt idx="134">
                  <c:v>5.9849433301177166</c:v>
                </c:pt>
                <c:pt idx="135">
                  <c:v>5.9851949340943866</c:v>
                </c:pt>
                <c:pt idx="136">
                  <c:v>5.9851949340943866</c:v>
                </c:pt>
                <c:pt idx="137">
                  <c:v>5.9851949340943866</c:v>
                </c:pt>
                <c:pt idx="138">
                  <c:v>5.9854464747824192</c:v>
                </c:pt>
                <c:pt idx="139">
                  <c:v>5.9854464747824192</c:v>
                </c:pt>
                <c:pt idx="140">
                  <c:v>5.9854464747824192</c:v>
                </c:pt>
                <c:pt idx="141">
                  <c:v>5.9856979522136449</c:v>
                </c:pt>
                <c:pt idx="142">
                  <c:v>5.9856979522136449</c:v>
                </c:pt>
                <c:pt idx="143">
                  <c:v>5.9856979522136449</c:v>
                </c:pt>
                <c:pt idx="144">
                  <c:v>5.985949366419872</c:v>
                </c:pt>
                <c:pt idx="145">
                  <c:v>5.985949366419872</c:v>
                </c:pt>
                <c:pt idx="146">
                  <c:v>5.985949366419872</c:v>
                </c:pt>
                <c:pt idx="147">
                  <c:v>5.985949366419872</c:v>
                </c:pt>
                <c:pt idx="148">
                  <c:v>5.9862007174328831</c:v>
                </c:pt>
                <c:pt idx="149">
                  <c:v>5.9862007174328831</c:v>
                </c:pt>
                <c:pt idx="150">
                  <c:v>5.9862007174328831</c:v>
                </c:pt>
                <c:pt idx="151">
                  <c:v>5.9864520052844377</c:v>
                </c:pt>
                <c:pt idx="152">
                  <c:v>5.9864520052844377</c:v>
                </c:pt>
                <c:pt idx="153">
                  <c:v>5.9867032300062712</c:v>
                </c:pt>
                <c:pt idx="154">
                  <c:v>5.9867032300062712</c:v>
                </c:pt>
                <c:pt idx="155">
                  <c:v>5.9867032300062712</c:v>
                </c:pt>
                <c:pt idx="156">
                  <c:v>5.9867032300062712</c:v>
                </c:pt>
                <c:pt idx="157">
                  <c:v>5.9867032300062712</c:v>
                </c:pt>
                <c:pt idx="158">
                  <c:v>5.9867032300062712</c:v>
                </c:pt>
                <c:pt idx="159">
                  <c:v>5.9867032300062712</c:v>
                </c:pt>
                <c:pt idx="160">
                  <c:v>5.9867032300062712</c:v>
                </c:pt>
                <c:pt idx="161">
                  <c:v>5.9867032300062712</c:v>
                </c:pt>
                <c:pt idx="162">
                  <c:v>5.9867032300062712</c:v>
                </c:pt>
                <c:pt idx="163">
                  <c:v>5.9869543916300962</c:v>
                </c:pt>
                <c:pt idx="164">
                  <c:v>5.9869543916300962</c:v>
                </c:pt>
                <c:pt idx="165">
                  <c:v>5.9869543916300962</c:v>
                </c:pt>
                <c:pt idx="166">
                  <c:v>5.9869543916300962</c:v>
                </c:pt>
                <c:pt idx="167">
                  <c:v>5.9872054901875984</c:v>
                </c:pt>
                <c:pt idx="168">
                  <c:v>5.9872054901875984</c:v>
                </c:pt>
                <c:pt idx="169">
                  <c:v>5.9872054901875984</c:v>
                </c:pt>
                <c:pt idx="170">
                  <c:v>5.9872054901875984</c:v>
                </c:pt>
                <c:pt idx="171">
                  <c:v>5.9872054901875984</c:v>
                </c:pt>
                <c:pt idx="172">
                  <c:v>5.9874565257104431</c:v>
                </c:pt>
                <c:pt idx="173">
                  <c:v>5.9874565257104431</c:v>
                </c:pt>
                <c:pt idx="174">
                  <c:v>5.9874565257104431</c:v>
                </c:pt>
                <c:pt idx="175">
                  <c:v>5.9874565257104431</c:v>
                </c:pt>
                <c:pt idx="176">
                  <c:v>5.9874565257104431</c:v>
                </c:pt>
                <c:pt idx="177">
                  <c:v>5.9874565257104431</c:v>
                </c:pt>
                <c:pt idx="178">
                  <c:v>5.9874565257104431</c:v>
                </c:pt>
                <c:pt idx="179">
                  <c:v>5.9874565257104431</c:v>
                </c:pt>
                <c:pt idx="180">
                  <c:v>5.9874565257104431</c:v>
                </c:pt>
                <c:pt idx="181">
                  <c:v>5.9877074982302698</c:v>
                </c:pt>
                <c:pt idx="182">
                  <c:v>5.9877074982302698</c:v>
                </c:pt>
                <c:pt idx="183">
                  <c:v>5.9877074982302698</c:v>
                </c:pt>
                <c:pt idx="184">
                  <c:v>5.9877074982302698</c:v>
                </c:pt>
                <c:pt idx="185">
                  <c:v>5.9877074982302698</c:v>
                </c:pt>
                <c:pt idx="186">
                  <c:v>5.9877074982302698</c:v>
                </c:pt>
                <c:pt idx="187">
                  <c:v>5.9877074982302698</c:v>
                </c:pt>
                <c:pt idx="188">
                  <c:v>5.9877074982302698</c:v>
                </c:pt>
                <c:pt idx="189">
                  <c:v>5.9879584077786943</c:v>
                </c:pt>
                <c:pt idx="190">
                  <c:v>5.9879584077786943</c:v>
                </c:pt>
                <c:pt idx="191">
                  <c:v>5.9879584077786943</c:v>
                </c:pt>
                <c:pt idx="192">
                  <c:v>5.9879584077786943</c:v>
                </c:pt>
                <c:pt idx="193">
                  <c:v>5.9879584077786943</c:v>
                </c:pt>
                <c:pt idx="194">
                  <c:v>5.9879584077786943</c:v>
                </c:pt>
                <c:pt idx="195">
                  <c:v>5.9879584077786943</c:v>
                </c:pt>
                <c:pt idx="196">
                  <c:v>5.9879584077786943</c:v>
                </c:pt>
                <c:pt idx="197">
                  <c:v>5.9882092543873089</c:v>
                </c:pt>
                <c:pt idx="198">
                  <c:v>5.9882092543873089</c:v>
                </c:pt>
                <c:pt idx="199">
                  <c:v>5.9882092543873089</c:v>
                </c:pt>
                <c:pt idx="200">
                  <c:v>5.9882092543873089</c:v>
                </c:pt>
                <c:pt idx="201">
                  <c:v>5.9882092543873089</c:v>
                </c:pt>
                <c:pt idx="202">
                  <c:v>5.9882092543873089</c:v>
                </c:pt>
                <c:pt idx="203">
                  <c:v>5.9882092543873089</c:v>
                </c:pt>
                <c:pt idx="204">
                  <c:v>5.9882092543873089</c:v>
                </c:pt>
                <c:pt idx="205">
                  <c:v>5.9882092543873089</c:v>
                </c:pt>
                <c:pt idx="206">
                  <c:v>5.9884600380876831</c:v>
                </c:pt>
                <c:pt idx="207">
                  <c:v>5.9884600380876831</c:v>
                </c:pt>
                <c:pt idx="208">
                  <c:v>5.9884600380876831</c:v>
                </c:pt>
                <c:pt idx="209">
                  <c:v>5.9884600380876831</c:v>
                </c:pt>
                <c:pt idx="210">
                  <c:v>5.9884600380876831</c:v>
                </c:pt>
                <c:pt idx="211">
                  <c:v>5.9884600380876831</c:v>
                </c:pt>
                <c:pt idx="212">
                  <c:v>5.9884600380876831</c:v>
                </c:pt>
                <c:pt idx="213">
                  <c:v>5.9884600380876831</c:v>
                </c:pt>
                <c:pt idx="214">
                  <c:v>5.9884600380876831</c:v>
                </c:pt>
                <c:pt idx="215">
                  <c:v>5.9887107589113606</c:v>
                </c:pt>
                <c:pt idx="216">
                  <c:v>5.9887107589113606</c:v>
                </c:pt>
                <c:pt idx="217">
                  <c:v>5.9887107589113606</c:v>
                </c:pt>
                <c:pt idx="218">
                  <c:v>5.9887107589113606</c:v>
                </c:pt>
                <c:pt idx="219">
                  <c:v>5.9887107589113606</c:v>
                </c:pt>
                <c:pt idx="220">
                  <c:v>5.9887107589113606</c:v>
                </c:pt>
                <c:pt idx="221">
                  <c:v>5.9887107589113606</c:v>
                </c:pt>
                <c:pt idx="222">
                  <c:v>5.9887107589113606</c:v>
                </c:pt>
                <c:pt idx="223">
                  <c:v>5.9887107589113606</c:v>
                </c:pt>
                <c:pt idx="224">
                  <c:v>5.9887107589113606</c:v>
                </c:pt>
                <c:pt idx="225">
                  <c:v>5.9887107589113606</c:v>
                </c:pt>
                <c:pt idx="226">
                  <c:v>5.9889614168898637</c:v>
                </c:pt>
                <c:pt idx="227">
                  <c:v>5.9889614168898637</c:v>
                </c:pt>
                <c:pt idx="228">
                  <c:v>5.9889614168898637</c:v>
                </c:pt>
                <c:pt idx="229">
                  <c:v>5.9889614168898637</c:v>
                </c:pt>
                <c:pt idx="230">
                  <c:v>5.9889614168898637</c:v>
                </c:pt>
                <c:pt idx="231">
                  <c:v>5.9889614168898637</c:v>
                </c:pt>
                <c:pt idx="232">
                  <c:v>5.9889614168898637</c:v>
                </c:pt>
                <c:pt idx="233">
                  <c:v>5.9889614168898637</c:v>
                </c:pt>
                <c:pt idx="234">
                  <c:v>5.9889614168898637</c:v>
                </c:pt>
                <c:pt idx="235">
                  <c:v>5.9889614168898637</c:v>
                </c:pt>
                <c:pt idx="236">
                  <c:v>5.9892120120546881</c:v>
                </c:pt>
                <c:pt idx="237">
                  <c:v>5.9892120120546881</c:v>
                </c:pt>
                <c:pt idx="238">
                  <c:v>5.9892120120546881</c:v>
                </c:pt>
                <c:pt idx="239">
                  <c:v>5.9892120120546881</c:v>
                </c:pt>
                <c:pt idx="240">
                  <c:v>5.9892120120546881</c:v>
                </c:pt>
                <c:pt idx="241">
                  <c:v>5.9892120120546881</c:v>
                </c:pt>
                <c:pt idx="242">
                  <c:v>5.9892120120546881</c:v>
                </c:pt>
                <c:pt idx="243">
                  <c:v>5.9892120120546881</c:v>
                </c:pt>
                <c:pt idx="244">
                  <c:v>5.9892120120546881</c:v>
                </c:pt>
                <c:pt idx="245">
                  <c:v>5.9892120120546881</c:v>
                </c:pt>
                <c:pt idx="246">
                  <c:v>5.9892120120546881</c:v>
                </c:pt>
                <c:pt idx="247">
                  <c:v>5.9892120120546881</c:v>
                </c:pt>
                <c:pt idx="248">
                  <c:v>5.9894625444373091</c:v>
                </c:pt>
                <c:pt idx="249">
                  <c:v>5.9894625444373091</c:v>
                </c:pt>
                <c:pt idx="250">
                  <c:v>5.9894625444373091</c:v>
                </c:pt>
                <c:pt idx="251">
                  <c:v>5.9894625444373091</c:v>
                </c:pt>
                <c:pt idx="252">
                  <c:v>5.9894625444373091</c:v>
                </c:pt>
                <c:pt idx="253">
                  <c:v>5.9894625444373091</c:v>
                </c:pt>
                <c:pt idx="254">
                  <c:v>5.9894625444373091</c:v>
                </c:pt>
                <c:pt idx="255">
                  <c:v>5.9894625444373091</c:v>
                </c:pt>
                <c:pt idx="256">
                  <c:v>5.9894625444373091</c:v>
                </c:pt>
                <c:pt idx="257">
                  <c:v>5.9894625444373091</c:v>
                </c:pt>
                <c:pt idx="258">
                  <c:v>5.9897130140691761</c:v>
                </c:pt>
                <c:pt idx="259">
                  <c:v>5.9897130140691761</c:v>
                </c:pt>
                <c:pt idx="260">
                  <c:v>5.9897130140691761</c:v>
                </c:pt>
                <c:pt idx="261">
                  <c:v>5.9897130140691761</c:v>
                </c:pt>
                <c:pt idx="262">
                  <c:v>5.9897130140691761</c:v>
                </c:pt>
                <c:pt idx="263">
                  <c:v>5.9897130140691761</c:v>
                </c:pt>
                <c:pt idx="264">
                  <c:v>5.9897130140691761</c:v>
                </c:pt>
                <c:pt idx="265">
                  <c:v>5.9897130140691761</c:v>
                </c:pt>
                <c:pt idx="266">
                  <c:v>5.9897130140691761</c:v>
                </c:pt>
                <c:pt idx="267">
                  <c:v>5.9897130140691761</c:v>
                </c:pt>
                <c:pt idx="268">
                  <c:v>5.9899634209817147</c:v>
                </c:pt>
                <c:pt idx="269">
                  <c:v>5.9899634209817147</c:v>
                </c:pt>
                <c:pt idx="270">
                  <c:v>5.9899634209817147</c:v>
                </c:pt>
                <c:pt idx="271">
                  <c:v>5.9899634209817147</c:v>
                </c:pt>
                <c:pt idx="272">
                  <c:v>5.9899634209817147</c:v>
                </c:pt>
                <c:pt idx="273">
                  <c:v>5.9899634209817147</c:v>
                </c:pt>
                <c:pt idx="274">
                  <c:v>5.9899634209817147</c:v>
                </c:pt>
                <c:pt idx="275">
                  <c:v>5.9899634209817147</c:v>
                </c:pt>
                <c:pt idx="276">
                  <c:v>5.9899634209817147</c:v>
                </c:pt>
                <c:pt idx="277">
                  <c:v>5.9899634209817147</c:v>
                </c:pt>
                <c:pt idx="278">
                  <c:v>5.9899634209817147</c:v>
                </c:pt>
                <c:pt idx="279">
                  <c:v>5.9899634209817147</c:v>
                </c:pt>
                <c:pt idx="280">
                  <c:v>5.9899634209817147</c:v>
                </c:pt>
                <c:pt idx="281">
                  <c:v>5.9899634209817147</c:v>
                </c:pt>
                <c:pt idx="282">
                  <c:v>5.9899634209817147</c:v>
                </c:pt>
                <c:pt idx="283">
                  <c:v>5.9902137652063292</c:v>
                </c:pt>
                <c:pt idx="284">
                  <c:v>5.9902137652063292</c:v>
                </c:pt>
                <c:pt idx="285">
                  <c:v>5.9902137652063292</c:v>
                </c:pt>
                <c:pt idx="286">
                  <c:v>5.9902137652063292</c:v>
                </c:pt>
                <c:pt idx="287">
                  <c:v>5.9902137652063292</c:v>
                </c:pt>
                <c:pt idx="288">
                  <c:v>5.9902137652063292</c:v>
                </c:pt>
                <c:pt idx="289">
                  <c:v>5.9902137652063292</c:v>
                </c:pt>
                <c:pt idx="290">
                  <c:v>5.9902137652063292</c:v>
                </c:pt>
                <c:pt idx="291">
                  <c:v>5.9902137652063292</c:v>
                </c:pt>
                <c:pt idx="292">
                  <c:v>5.9902137652063292</c:v>
                </c:pt>
                <c:pt idx="293">
                  <c:v>5.9902137652063292</c:v>
                </c:pt>
                <c:pt idx="294">
                  <c:v>5.9904640467743988</c:v>
                </c:pt>
                <c:pt idx="295">
                  <c:v>5.9904640467743988</c:v>
                </c:pt>
                <c:pt idx="296">
                  <c:v>5.9904640467743988</c:v>
                </c:pt>
                <c:pt idx="297">
                  <c:v>5.9904640467743988</c:v>
                </c:pt>
                <c:pt idx="298">
                  <c:v>5.9904640467743988</c:v>
                </c:pt>
                <c:pt idx="299">
                  <c:v>5.9907142657172781</c:v>
                </c:pt>
                <c:pt idx="300">
                  <c:v>5.9907142657172781</c:v>
                </c:pt>
                <c:pt idx="301">
                  <c:v>5.9907142657172781</c:v>
                </c:pt>
                <c:pt idx="302">
                  <c:v>5.9907142657172781</c:v>
                </c:pt>
                <c:pt idx="303">
                  <c:v>5.9907142657172781</c:v>
                </c:pt>
                <c:pt idx="304">
                  <c:v>5.9907142657172781</c:v>
                </c:pt>
                <c:pt idx="305">
                  <c:v>5.9907142657172781</c:v>
                </c:pt>
                <c:pt idx="306">
                  <c:v>5.9907142657172781</c:v>
                </c:pt>
                <c:pt idx="307">
                  <c:v>5.9909644220663001</c:v>
                </c:pt>
                <c:pt idx="308">
                  <c:v>5.9909644220663001</c:v>
                </c:pt>
                <c:pt idx="309">
                  <c:v>5.9909644220663001</c:v>
                </c:pt>
                <c:pt idx="310">
                  <c:v>5.9909644220663001</c:v>
                </c:pt>
                <c:pt idx="311">
                  <c:v>5.9909644220663001</c:v>
                </c:pt>
                <c:pt idx="312">
                  <c:v>5.9912145158527723</c:v>
                </c:pt>
                <c:pt idx="313">
                  <c:v>5.9912145158527723</c:v>
                </c:pt>
                <c:pt idx="314">
                  <c:v>5.9912145158527723</c:v>
                </c:pt>
                <c:pt idx="315">
                  <c:v>5.9912145158527723</c:v>
                </c:pt>
                <c:pt idx="316">
                  <c:v>5.9912145158527723</c:v>
                </c:pt>
                <c:pt idx="317">
                  <c:v>5.9912145158527723</c:v>
                </c:pt>
                <c:pt idx="318">
                  <c:v>5.9912145158527723</c:v>
                </c:pt>
                <c:pt idx="319">
                  <c:v>5.9912145158527723</c:v>
                </c:pt>
                <c:pt idx="320">
                  <c:v>5.9912145158527723</c:v>
                </c:pt>
                <c:pt idx="321">
                  <c:v>5.9912145158527723</c:v>
                </c:pt>
                <c:pt idx="322">
                  <c:v>5.9912145158527723</c:v>
                </c:pt>
                <c:pt idx="323">
                  <c:v>5.9914645471079817</c:v>
                </c:pt>
                <c:pt idx="324">
                  <c:v>5.9914645471079817</c:v>
                </c:pt>
                <c:pt idx="325">
                  <c:v>5.9914645471079817</c:v>
                </c:pt>
                <c:pt idx="326">
                  <c:v>5.9914645471079817</c:v>
                </c:pt>
                <c:pt idx="327">
                  <c:v>5.9914645471079817</c:v>
                </c:pt>
                <c:pt idx="328">
                  <c:v>5.9914645471079817</c:v>
                </c:pt>
                <c:pt idx="329">
                  <c:v>5.9914645471079817</c:v>
                </c:pt>
                <c:pt idx="330">
                  <c:v>5.9917145158631895</c:v>
                </c:pt>
                <c:pt idx="331">
                  <c:v>5.9917145158631895</c:v>
                </c:pt>
                <c:pt idx="332">
                  <c:v>5.9917145158631895</c:v>
                </c:pt>
                <c:pt idx="333">
                  <c:v>5.9917145158631895</c:v>
                </c:pt>
                <c:pt idx="334">
                  <c:v>5.9917145158631895</c:v>
                </c:pt>
                <c:pt idx="335">
                  <c:v>5.9919644221496329</c:v>
                </c:pt>
                <c:pt idx="336">
                  <c:v>5.9919644221496329</c:v>
                </c:pt>
                <c:pt idx="337">
                  <c:v>5.9919644221496329</c:v>
                </c:pt>
                <c:pt idx="338">
                  <c:v>5.9919644221496329</c:v>
                </c:pt>
                <c:pt idx="339">
                  <c:v>5.9919644221496329</c:v>
                </c:pt>
                <c:pt idx="340">
                  <c:v>5.9919644221496329</c:v>
                </c:pt>
                <c:pt idx="341">
                  <c:v>5.9919644221496329</c:v>
                </c:pt>
                <c:pt idx="342">
                  <c:v>5.9919644221496329</c:v>
                </c:pt>
                <c:pt idx="343">
                  <c:v>5.9919644221496329</c:v>
                </c:pt>
                <c:pt idx="344">
                  <c:v>5.9919644221496329</c:v>
                </c:pt>
                <c:pt idx="345">
                  <c:v>5.9922142659985278</c:v>
                </c:pt>
                <c:pt idx="346">
                  <c:v>5.9922142659985278</c:v>
                </c:pt>
                <c:pt idx="347">
                  <c:v>5.9922142659985278</c:v>
                </c:pt>
                <c:pt idx="348">
                  <c:v>5.9922142659985278</c:v>
                </c:pt>
                <c:pt idx="349">
                  <c:v>5.9922142659985278</c:v>
                </c:pt>
                <c:pt idx="350">
                  <c:v>5.9922142659985278</c:v>
                </c:pt>
                <c:pt idx="351">
                  <c:v>5.9924640474410653</c:v>
                </c:pt>
                <c:pt idx="352">
                  <c:v>5.9924640474410653</c:v>
                </c:pt>
                <c:pt idx="353">
                  <c:v>5.9924640474410653</c:v>
                </c:pt>
                <c:pt idx="354">
                  <c:v>5.9924640474410653</c:v>
                </c:pt>
                <c:pt idx="355">
                  <c:v>5.9924640474410653</c:v>
                </c:pt>
                <c:pt idx="356">
                  <c:v>5.9924640474410653</c:v>
                </c:pt>
                <c:pt idx="357">
                  <c:v>5.9924640474410653</c:v>
                </c:pt>
                <c:pt idx="358">
                  <c:v>5.9924640474410653</c:v>
                </c:pt>
                <c:pt idx="359">
                  <c:v>5.9924640474410653</c:v>
                </c:pt>
                <c:pt idx="360">
                  <c:v>5.9924640474410653</c:v>
                </c:pt>
                <c:pt idx="361">
                  <c:v>5.9924640474410653</c:v>
                </c:pt>
                <c:pt idx="362">
                  <c:v>5.9924640474410653</c:v>
                </c:pt>
                <c:pt idx="363">
                  <c:v>5.9924640474410653</c:v>
                </c:pt>
                <c:pt idx="364">
                  <c:v>5.9924640474410653</c:v>
                </c:pt>
                <c:pt idx="365">
                  <c:v>5.9924640474410653</c:v>
                </c:pt>
                <c:pt idx="366">
                  <c:v>5.9924640474410653</c:v>
                </c:pt>
                <c:pt idx="367">
                  <c:v>5.9924640474410653</c:v>
                </c:pt>
                <c:pt idx="368">
                  <c:v>5.9924640474410653</c:v>
                </c:pt>
                <c:pt idx="369">
                  <c:v>5.9924640474410653</c:v>
                </c:pt>
                <c:pt idx="370">
                  <c:v>5.9927137665084143</c:v>
                </c:pt>
                <c:pt idx="371">
                  <c:v>5.9927137665084143</c:v>
                </c:pt>
                <c:pt idx="372">
                  <c:v>5.9927137665084143</c:v>
                </c:pt>
                <c:pt idx="373">
                  <c:v>5.9927137665084143</c:v>
                </c:pt>
                <c:pt idx="374">
                  <c:v>5.9927137665084143</c:v>
                </c:pt>
                <c:pt idx="375">
                  <c:v>5.9927137665084143</c:v>
                </c:pt>
                <c:pt idx="376">
                  <c:v>5.9927137665084143</c:v>
                </c:pt>
                <c:pt idx="377">
                  <c:v>5.9927137665084143</c:v>
                </c:pt>
                <c:pt idx="378">
                  <c:v>5.9927137665084143</c:v>
                </c:pt>
                <c:pt idx="379">
                  <c:v>5.9927137665084143</c:v>
                </c:pt>
                <c:pt idx="380">
                  <c:v>5.9927137665084143</c:v>
                </c:pt>
                <c:pt idx="381">
                  <c:v>5.9927137665084143</c:v>
                </c:pt>
                <c:pt idx="382">
                  <c:v>5.9927137665084143</c:v>
                </c:pt>
                <c:pt idx="383">
                  <c:v>5.9927137665084143</c:v>
                </c:pt>
                <c:pt idx="384">
                  <c:v>5.9929634232317177</c:v>
                </c:pt>
                <c:pt idx="385">
                  <c:v>5.9929634232317177</c:v>
                </c:pt>
                <c:pt idx="386">
                  <c:v>5.9929634232317177</c:v>
                </c:pt>
                <c:pt idx="387">
                  <c:v>5.9929634232317177</c:v>
                </c:pt>
                <c:pt idx="388">
                  <c:v>5.9929634232317177</c:v>
                </c:pt>
                <c:pt idx="389">
                  <c:v>5.9929634232317177</c:v>
                </c:pt>
                <c:pt idx="390">
                  <c:v>5.9929634232317177</c:v>
                </c:pt>
                <c:pt idx="391">
                  <c:v>5.9929634232317177</c:v>
                </c:pt>
                <c:pt idx="392">
                  <c:v>5.9929634232317177</c:v>
                </c:pt>
                <c:pt idx="393">
                  <c:v>5.9929634232317177</c:v>
                </c:pt>
                <c:pt idx="394">
                  <c:v>5.9929634232317177</c:v>
                </c:pt>
                <c:pt idx="395">
                  <c:v>5.9929634232317177</c:v>
                </c:pt>
                <c:pt idx="396">
                  <c:v>5.9929634232317177</c:v>
                </c:pt>
                <c:pt idx="397">
                  <c:v>5.9929634232317177</c:v>
                </c:pt>
                <c:pt idx="398">
                  <c:v>5.9929634232317177</c:v>
                </c:pt>
                <c:pt idx="399">
                  <c:v>5.9929634232317177</c:v>
                </c:pt>
                <c:pt idx="400">
                  <c:v>5.9929634232317177</c:v>
                </c:pt>
                <c:pt idx="401">
                  <c:v>5.9932130176420992</c:v>
                </c:pt>
                <c:pt idx="402">
                  <c:v>5.9932130176420992</c:v>
                </c:pt>
                <c:pt idx="403">
                  <c:v>5.9932130176420992</c:v>
                </c:pt>
                <c:pt idx="404">
                  <c:v>5.9932130176420992</c:v>
                </c:pt>
                <c:pt idx="405">
                  <c:v>5.9932130176420992</c:v>
                </c:pt>
                <c:pt idx="406">
                  <c:v>5.9932130176420992</c:v>
                </c:pt>
                <c:pt idx="407">
                  <c:v>5.9932130176420992</c:v>
                </c:pt>
                <c:pt idx="408">
                  <c:v>5.9932130176420992</c:v>
                </c:pt>
                <c:pt idx="409">
                  <c:v>5.9932130176420992</c:v>
                </c:pt>
                <c:pt idx="410">
                  <c:v>5.9932130176420992</c:v>
                </c:pt>
                <c:pt idx="411">
                  <c:v>5.9932130176420992</c:v>
                </c:pt>
                <c:pt idx="412">
                  <c:v>5.9932130176420992</c:v>
                </c:pt>
                <c:pt idx="413">
                  <c:v>5.9932130176420992</c:v>
                </c:pt>
                <c:pt idx="414">
                  <c:v>5.9932130176420992</c:v>
                </c:pt>
                <c:pt idx="415">
                  <c:v>5.9932130176420992</c:v>
                </c:pt>
                <c:pt idx="416">
                  <c:v>5.9934625497706548</c:v>
                </c:pt>
                <c:pt idx="417">
                  <c:v>5.9934625497706548</c:v>
                </c:pt>
                <c:pt idx="418">
                  <c:v>5.9934625497706548</c:v>
                </c:pt>
                <c:pt idx="419">
                  <c:v>5.9934625497706548</c:v>
                </c:pt>
                <c:pt idx="420">
                  <c:v>5.9934625497706548</c:v>
                </c:pt>
                <c:pt idx="421">
                  <c:v>5.9934625497706548</c:v>
                </c:pt>
                <c:pt idx="422">
                  <c:v>5.9934625497706548</c:v>
                </c:pt>
                <c:pt idx="423">
                  <c:v>5.9934625497706548</c:v>
                </c:pt>
                <c:pt idx="424">
                  <c:v>5.9934625497706548</c:v>
                </c:pt>
                <c:pt idx="425">
                  <c:v>5.9934625497706548</c:v>
                </c:pt>
                <c:pt idx="426">
                  <c:v>5.9934625497706548</c:v>
                </c:pt>
                <c:pt idx="427">
                  <c:v>5.9934625497706548</c:v>
                </c:pt>
                <c:pt idx="428">
                  <c:v>5.9934625497706548</c:v>
                </c:pt>
                <c:pt idx="429">
                  <c:v>5.993712019648461</c:v>
                </c:pt>
                <c:pt idx="430">
                  <c:v>5.993712019648461</c:v>
                </c:pt>
                <c:pt idx="431">
                  <c:v>5.993712019648461</c:v>
                </c:pt>
                <c:pt idx="432">
                  <c:v>5.993712019648461</c:v>
                </c:pt>
                <c:pt idx="433">
                  <c:v>5.993712019648461</c:v>
                </c:pt>
                <c:pt idx="434">
                  <c:v>5.993712019648461</c:v>
                </c:pt>
                <c:pt idx="435">
                  <c:v>5.993712019648461</c:v>
                </c:pt>
                <c:pt idx="436">
                  <c:v>5.993712019648461</c:v>
                </c:pt>
                <c:pt idx="437">
                  <c:v>5.993712019648461</c:v>
                </c:pt>
                <c:pt idx="438">
                  <c:v>5.993712019648461</c:v>
                </c:pt>
                <c:pt idx="439">
                  <c:v>5.993712019648461</c:v>
                </c:pt>
                <c:pt idx="440">
                  <c:v>5.993712019648461</c:v>
                </c:pt>
                <c:pt idx="441">
                  <c:v>5.993712019648461</c:v>
                </c:pt>
                <c:pt idx="442">
                  <c:v>5.993712019648461</c:v>
                </c:pt>
                <c:pt idx="443">
                  <c:v>5.993712019648461</c:v>
                </c:pt>
                <c:pt idx="444">
                  <c:v>5.993712019648461</c:v>
                </c:pt>
                <c:pt idx="445">
                  <c:v>5.993712019648461</c:v>
                </c:pt>
                <c:pt idx="446">
                  <c:v>5.9939614273065693</c:v>
                </c:pt>
                <c:pt idx="447">
                  <c:v>5.9939614273065693</c:v>
                </c:pt>
                <c:pt idx="448">
                  <c:v>5.9939614273065693</c:v>
                </c:pt>
                <c:pt idx="449">
                  <c:v>5.9939614273065693</c:v>
                </c:pt>
                <c:pt idx="450">
                  <c:v>5.9939614273065693</c:v>
                </c:pt>
                <c:pt idx="451">
                  <c:v>5.9939614273065693</c:v>
                </c:pt>
                <c:pt idx="452">
                  <c:v>5.9939614273065693</c:v>
                </c:pt>
                <c:pt idx="453">
                  <c:v>5.9939614273065693</c:v>
                </c:pt>
                <c:pt idx="454">
                  <c:v>5.9939614273065693</c:v>
                </c:pt>
                <c:pt idx="455">
                  <c:v>5.9939614273065693</c:v>
                </c:pt>
                <c:pt idx="456">
                  <c:v>5.9939614273065693</c:v>
                </c:pt>
                <c:pt idx="457">
                  <c:v>5.9939614273065693</c:v>
                </c:pt>
                <c:pt idx="458">
                  <c:v>5.9939614273065693</c:v>
                </c:pt>
                <c:pt idx="459">
                  <c:v>5.9942107727760074</c:v>
                </c:pt>
                <c:pt idx="460">
                  <c:v>5.9942107727760074</c:v>
                </c:pt>
                <c:pt idx="461">
                  <c:v>5.9942107727760074</c:v>
                </c:pt>
                <c:pt idx="462">
                  <c:v>5.9942107727760074</c:v>
                </c:pt>
                <c:pt idx="463">
                  <c:v>5.9942107727760074</c:v>
                </c:pt>
                <c:pt idx="464">
                  <c:v>5.9942107727760074</c:v>
                </c:pt>
                <c:pt idx="465">
                  <c:v>5.9942107727760074</c:v>
                </c:pt>
                <c:pt idx="466">
                  <c:v>5.9942107727760074</c:v>
                </c:pt>
                <c:pt idx="467">
                  <c:v>5.9942107727760074</c:v>
                </c:pt>
                <c:pt idx="468">
                  <c:v>5.9942107727760074</c:v>
                </c:pt>
                <c:pt idx="469">
                  <c:v>5.9942107727760074</c:v>
                </c:pt>
                <c:pt idx="470">
                  <c:v>5.9942107727760074</c:v>
                </c:pt>
                <c:pt idx="471">
                  <c:v>5.9942107727760074</c:v>
                </c:pt>
                <c:pt idx="472">
                  <c:v>5.9942107727760074</c:v>
                </c:pt>
                <c:pt idx="473">
                  <c:v>5.9942107727760074</c:v>
                </c:pt>
                <c:pt idx="474">
                  <c:v>5.9942107727760074</c:v>
                </c:pt>
                <c:pt idx="475">
                  <c:v>5.9942107727760074</c:v>
                </c:pt>
                <c:pt idx="476">
                  <c:v>5.9942107727760074</c:v>
                </c:pt>
                <c:pt idx="477">
                  <c:v>5.9942107727760074</c:v>
                </c:pt>
                <c:pt idx="478">
                  <c:v>5.9942107727760074</c:v>
                </c:pt>
                <c:pt idx="479">
                  <c:v>5.9942107727760074</c:v>
                </c:pt>
                <c:pt idx="480">
                  <c:v>5.9942107727760074</c:v>
                </c:pt>
                <c:pt idx="481">
                  <c:v>5.9942107727760074</c:v>
                </c:pt>
                <c:pt idx="482">
                  <c:v>5.9944600560877808</c:v>
                </c:pt>
                <c:pt idx="483">
                  <c:v>5.9944600560877808</c:v>
                </c:pt>
                <c:pt idx="484">
                  <c:v>5.9944600560877808</c:v>
                </c:pt>
                <c:pt idx="485">
                  <c:v>5.9944600560877808</c:v>
                </c:pt>
                <c:pt idx="486">
                  <c:v>5.9944600560877808</c:v>
                </c:pt>
                <c:pt idx="487">
                  <c:v>5.9944600560877808</c:v>
                </c:pt>
                <c:pt idx="488">
                  <c:v>5.9944600560877808</c:v>
                </c:pt>
                <c:pt idx="489">
                  <c:v>5.9944600560877808</c:v>
                </c:pt>
                <c:pt idx="490">
                  <c:v>5.9944600560877808</c:v>
                </c:pt>
                <c:pt idx="491">
                  <c:v>5.9944600560877808</c:v>
                </c:pt>
                <c:pt idx="492">
                  <c:v>5.9944600560877808</c:v>
                </c:pt>
                <c:pt idx="493">
                  <c:v>5.9944600560877808</c:v>
                </c:pt>
                <c:pt idx="494">
                  <c:v>5.9944600560877808</c:v>
                </c:pt>
                <c:pt idx="495">
                  <c:v>5.9944600560877808</c:v>
                </c:pt>
                <c:pt idx="496">
                  <c:v>5.9944600560877808</c:v>
                </c:pt>
                <c:pt idx="497">
                  <c:v>5.9944600560877808</c:v>
                </c:pt>
                <c:pt idx="498">
                  <c:v>5.9944600560877808</c:v>
                </c:pt>
                <c:pt idx="499">
                  <c:v>5.9944600560877808</c:v>
                </c:pt>
                <c:pt idx="500">
                  <c:v>5.9944600560877808</c:v>
                </c:pt>
                <c:pt idx="501">
                  <c:v>5.9944600560877808</c:v>
                </c:pt>
                <c:pt idx="502">
                  <c:v>5.9944600560877808</c:v>
                </c:pt>
                <c:pt idx="503">
                  <c:v>5.9944600560877808</c:v>
                </c:pt>
                <c:pt idx="504">
                  <c:v>5.9944600560877808</c:v>
                </c:pt>
                <c:pt idx="505">
                  <c:v>5.9944600560877808</c:v>
                </c:pt>
                <c:pt idx="506">
                  <c:v>5.9944600560877808</c:v>
                </c:pt>
                <c:pt idx="507">
                  <c:v>5.9944600560877808</c:v>
                </c:pt>
                <c:pt idx="508">
                  <c:v>5.9944600560877808</c:v>
                </c:pt>
                <c:pt idx="509">
                  <c:v>5.9944600560877808</c:v>
                </c:pt>
                <c:pt idx="510">
                  <c:v>5.9947092772728707</c:v>
                </c:pt>
                <c:pt idx="511">
                  <c:v>5.9947092772728707</c:v>
                </c:pt>
                <c:pt idx="512">
                  <c:v>5.9947092772728707</c:v>
                </c:pt>
                <c:pt idx="513">
                  <c:v>5.9947092772728707</c:v>
                </c:pt>
                <c:pt idx="514">
                  <c:v>5.9947092772728707</c:v>
                </c:pt>
                <c:pt idx="515">
                  <c:v>5.9947092772728707</c:v>
                </c:pt>
                <c:pt idx="516">
                  <c:v>5.9947092772728707</c:v>
                </c:pt>
                <c:pt idx="517">
                  <c:v>5.9947092772728707</c:v>
                </c:pt>
                <c:pt idx="518">
                  <c:v>5.9947092772728707</c:v>
                </c:pt>
                <c:pt idx="519">
                  <c:v>5.9947092772728707</c:v>
                </c:pt>
                <c:pt idx="520">
                  <c:v>5.9947092772728707</c:v>
                </c:pt>
                <c:pt idx="521">
                  <c:v>5.9947092772728707</c:v>
                </c:pt>
                <c:pt idx="522">
                  <c:v>5.9947092772728707</c:v>
                </c:pt>
                <c:pt idx="523">
                  <c:v>5.9947092772728707</c:v>
                </c:pt>
                <c:pt idx="524">
                  <c:v>5.9947092772728707</c:v>
                </c:pt>
                <c:pt idx="525">
                  <c:v>5.9947092772728707</c:v>
                </c:pt>
                <c:pt idx="526">
                  <c:v>5.9947092772728707</c:v>
                </c:pt>
                <c:pt idx="527">
                  <c:v>5.9947092772728707</c:v>
                </c:pt>
                <c:pt idx="528">
                  <c:v>5.9947092772728707</c:v>
                </c:pt>
                <c:pt idx="529">
                  <c:v>5.9947092772728707</c:v>
                </c:pt>
                <c:pt idx="530">
                  <c:v>5.9947092772728707</c:v>
                </c:pt>
                <c:pt idx="531">
                  <c:v>5.9947092772728707</c:v>
                </c:pt>
                <c:pt idx="532">
                  <c:v>5.9947092772728707</c:v>
                </c:pt>
                <c:pt idx="533">
                  <c:v>5.9947092772728707</c:v>
                </c:pt>
                <c:pt idx="534">
                  <c:v>5.9947092772728707</c:v>
                </c:pt>
                <c:pt idx="535">
                  <c:v>5.9949584363622375</c:v>
                </c:pt>
                <c:pt idx="536">
                  <c:v>5.9949584363622375</c:v>
                </c:pt>
                <c:pt idx="537">
                  <c:v>5.9949584363622375</c:v>
                </c:pt>
                <c:pt idx="538">
                  <c:v>5.9949584363622375</c:v>
                </c:pt>
                <c:pt idx="539">
                  <c:v>5.9949584363622375</c:v>
                </c:pt>
                <c:pt idx="540">
                  <c:v>5.9949584363622375</c:v>
                </c:pt>
                <c:pt idx="541">
                  <c:v>5.9949584363622375</c:v>
                </c:pt>
                <c:pt idx="542">
                  <c:v>5.9949584363622375</c:v>
                </c:pt>
                <c:pt idx="543">
                  <c:v>5.9949584363622375</c:v>
                </c:pt>
                <c:pt idx="544">
                  <c:v>5.9949584363622375</c:v>
                </c:pt>
                <c:pt idx="545">
                  <c:v>5.9949584363622375</c:v>
                </c:pt>
                <c:pt idx="546">
                  <c:v>5.9949584363622375</c:v>
                </c:pt>
                <c:pt idx="547">
                  <c:v>5.9949584363622375</c:v>
                </c:pt>
                <c:pt idx="548">
                  <c:v>5.9949584363622375</c:v>
                </c:pt>
                <c:pt idx="549">
                  <c:v>5.9949584363622375</c:v>
                </c:pt>
                <c:pt idx="550">
                  <c:v>5.9949584363622375</c:v>
                </c:pt>
                <c:pt idx="551">
                  <c:v>5.9949584363622375</c:v>
                </c:pt>
                <c:pt idx="552">
                  <c:v>5.9949584363622375</c:v>
                </c:pt>
                <c:pt idx="553">
                  <c:v>5.9949584363622375</c:v>
                </c:pt>
                <c:pt idx="554">
                  <c:v>5.9949584363622375</c:v>
                </c:pt>
                <c:pt idx="555">
                  <c:v>5.9949584363622375</c:v>
                </c:pt>
                <c:pt idx="556">
                  <c:v>5.9949584363622375</c:v>
                </c:pt>
                <c:pt idx="557">
                  <c:v>5.9952075333868162</c:v>
                </c:pt>
                <c:pt idx="558">
                  <c:v>5.9952075333868162</c:v>
                </c:pt>
                <c:pt idx="559">
                  <c:v>5.9952075333868162</c:v>
                </c:pt>
                <c:pt idx="560">
                  <c:v>5.9952075333868162</c:v>
                </c:pt>
                <c:pt idx="561">
                  <c:v>5.9952075333868162</c:v>
                </c:pt>
                <c:pt idx="562">
                  <c:v>5.9952075333868162</c:v>
                </c:pt>
                <c:pt idx="563">
                  <c:v>5.9952075333868162</c:v>
                </c:pt>
                <c:pt idx="564">
                  <c:v>5.9952075333868162</c:v>
                </c:pt>
                <c:pt idx="565">
                  <c:v>5.9952075333868162</c:v>
                </c:pt>
                <c:pt idx="566">
                  <c:v>5.9952075333868162</c:v>
                </c:pt>
                <c:pt idx="567">
                  <c:v>5.9952075333868162</c:v>
                </c:pt>
                <c:pt idx="568">
                  <c:v>5.9952075333868162</c:v>
                </c:pt>
                <c:pt idx="569">
                  <c:v>5.9952075333868162</c:v>
                </c:pt>
                <c:pt idx="570">
                  <c:v>5.9952075333868162</c:v>
                </c:pt>
                <c:pt idx="571">
                  <c:v>5.9952075333868162</c:v>
                </c:pt>
                <c:pt idx="572">
                  <c:v>5.9952075333868162</c:v>
                </c:pt>
                <c:pt idx="573">
                  <c:v>5.9952075333868162</c:v>
                </c:pt>
                <c:pt idx="574">
                  <c:v>5.9952075333868162</c:v>
                </c:pt>
                <c:pt idx="575">
                  <c:v>5.9952075333868162</c:v>
                </c:pt>
                <c:pt idx="576">
                  <c:v>5.9952075333868162</c:v>
                </c:pt>
                <c:pt idx="577">
                  <c:v>5.9952075333868162</c:v>
                </c:pt>
                <c:pt idx="578">
                  <c:v>5.9954565683775192</c:v>
                </c:pt>
                <c:pt idx="579">
                  <c:v>5.9954565683775192</c:v>
                </c:pt>
                <c:pt idx="580">
                  <c:v>5.9954565683775192</c:v>
                </c:pt>
                <c:pt idx="581">
                  <c:v>5.9954565683775192</c:v>
                </c:pt>
                <c:pt idx="582">
                  <c:v>5.9954565683775192</c:v>
                </c:pt>
                <c:pt idx="583">
                  <c:v>5.9954565683775192</c:v>
                </c:pt>
                <c:pt idx="584">
                  <c:v>5.9954565683775192</c:v>
                </c:pt>
                <c:pt idx="585">
                  <c:v>5.9954565683775192</c:v>
                </c:pt>
                <c:pt idx="586">
                  <c:v>5.9954565683775192</c:v>
                </c:pt>
                <c:pt idx="587">
                  <c:v>5.9954565683775192</c:v>
                </c:pt>
                <c:pt idx="588">
                  <c:v>5.9954565683775192</c:v>
                </c:pt>
                <c:pt idx="589">
                  <c:v>5.9954565683775192</c:v>
                </c:pt>
                <c:pt idx="590">
                  <c:v>5.9954565683775192</c:v>
                </c:pt>
                <c:pt idx="591">
                  <c:v>5.9954565683775192</c:v>
                </c:pt>
                <c:pt idx="592">
                  <c:v>5.9954565683775192</c:v>
                </c:pt>
                <c:pt idx="593">
                  <c:v>5.9954565683775192</c:v>
                </c:pt>
                <c:pt idx="594">
                  <c:v>5.9954565683775192</c:v>
                </c:pt>
                <c:pt idx="595">
                  <c:v>5.9954565683775192</c:v>
                </c:pt>
                <c:pt idx="596">
                  <c:v>5.9954565683775192</c:v>
                </c:pt>
                <c:pt idx="597">
                  <c:v>5.9954565683775192</c:v>
                </c:pt>
                <c:pt idx="598">
                  <c:v>5.9954565683775192</c:v>
                </c:pt>
                <c:pt idx="599">
                  <c:v>5.9954565683775192</c:v>
                </c:pt>
                <c:pt idx="600">
                  <c:v>5.9954565683775192</c:v>
                </c:pt>
                <c:pt idx="601">
                  <c:v>5.9954565683775192</c:v>
                </c:pt>
                <c:pt idx="602">
                  <c:v>5.9954565683775192</c:v>
                </c:pt>
                <c:pt idx="603">
                  <c:v>5.9957055413652363</c:v>
                </c:pt>
                <c:pt idx="604">
                  <c:v>5.9957055413652363</c:v>
                </c:pt>
                <c:pt idx="605">
                  <c:v>5.9957055413652363</c:v>
                </c:pt>
                <c:pt idx="606">
                  <c:v>5.9957055413652363</c:v>
                </c:pt>
                <c:pt idx="607">
                  <c:v>5.9957055413652363</c:v>
                </c:pt>
                <c:pt idx="608">
                  <c:v>5.9957055413652363</c:v>
                </c:pt>
                <c:pt idx="609">
                  <c:v>5.9957055413652363</c:v>
                </c:pt>
                <c:pt idx="610">
                  <c:v>5.9957055413652363</c:v>
                </c:pt>
                <c:pt idx="611">
                  <c:v>5.9957055413652363</c:v>
                </c:pt>
                <c:pt idx="612">
                  <c:v>5.9957055413652363</c:v>
                </c:pt>
                <c:pt idx="613">
                  <c:v>5.9957055413652363</c:v>
                </c:pt>
                <c:pt idx="614">
                  <c:v>5.9957055413652363</c:v>
                </c:pt>
                <c:pt idx="615">
                  <c:v>5.9957055413652363</c:v>
                </c:pt>
                <c:pt idx="616">
                  <c:v>5.9957055413652363</c:v>
                </c:pt>
                <c:pt idx="617">
                  <c:v>5.9957055413652363</c:v>
                </c:pt>
                <c:pt idx="618">
                  <c:v>5.9957055413652363</c:v>
                </c:pt>
                <c:pt idx="619">
                  <c:v>5.9957055413652363</c:v>
                </c:pt>
                <c:pt idx="620">
                  <c:v>5.9957055413652363</c:v>
                </c:pt>
                <c:pt idx="621">
                  <c:v>5.9957055413652363</c:v>
                </c:pt>
                <c:pt idx="622">
                  <c:v>5.9957055413652363</c:v>
                </c:pt>
                <c:pt idx="623">
                  <c:v>5.9957055413652363</c:v>
                </c:pt>
                <c:pt idx="624">
                  <c:v>5.9957055413652363</c:v>
                </c:pt>
                <c:pt idx="625">
                  <c:v>5.9957055413652363</c:v>
                </c:pt>
                <c:pt idx="626">
                  <c:v>5.9957055413652363</c:v>
                </c:pt>
                <c:pt idx="627">
                  <c:v>5.9957055413652363</c:v>
                </c:pt>
                <c:pt idx="628">
                  <c:v>5.9957055413652363</c:v>
                </c:pt>
                <c:pt idx="629">
                  <c:v>5.9957055413652363</c:v>
                </c:pt>
                <c:pt idx="630">
                  <c:v>5.9957055413652363</c:v>
                </c:pt>
                <c:pt idx="631">
                  <c:v>5.9957055413652363</c:v>
                </c:pt>
                <c:pt idx="632">
                  <c:v>5.9957055413652363</c:v>
                </c:pt>
                <c:pt idx="633">
                  <c:v>5.9957055413652363</c:v>
                </c:pt>
                <c:pt idx="634">
                  <c:v>5.9957055413652363</c:v>
                </c:pt>
                <c:pt idx="635">
                  <c:v>5.9959544523808344</c:v>
                </c:pt>
                <c:pt idx="636">
                  <c:v>5.9959544523808344</c:v>
                </c:pt>
                <c:pt idx="637">
                  <c:v>5.9959544523808344</c:v>
                </c:pt>
                <c:pt idx="638">
                  <c:v>5.9959544523808344</c:v>
                </c:pt>
                <c:pt idx="639">
                  <c:v>5.9959544523808344</c:v>
                </c:pt>
                <c:pt idx="640">
                  <c:v>5.9959544523808344</c:v>
                </c:pt>
                <c:pt idx="641">
                  <c:v>5.9959544523808344</c:v>
                </c:pt>
                <c:pt idx="642">
                  <c:v>5.9959544523808344</c:v>
                </c:pt>
                <c:pt idx="643">
                  <c:v>5.9959544523808344</c:v>
                </c:pt>
                <c:pt idx="644">
                  <c:v>5.9959544523808344</c:v>
                </c:pt>
                <c:pt idx="645">
                  <c:v>5.9959544523808344</c:v>
                </c:pt>
                <c:pt idx="646">
                  <c:v>5.9959544523808344</c:v>
                </c:pt>
                <c:pt idx="647">
                  <c:v>5.9959544523808344</c:v>
                </c:pt>
                <c:pt idx="648">
                  <c:v>5.9959544523808344</c:v>
                </c:pt>
                <c:pt idx="649">
                  <c:v>5.9959544523808344</c:v>
                </c:pt>
                <c:pt idx="650">
                  <c:v>5.9959544523808344</c:v>
                </c:pt>
                <c:pt idx="651">
                  <c:v>5.9959544523808344</c:v>
                </c:pt>
                <c:pt idx="652">
                  <c:v>5.9959544523808344</c:v>
                </c:pt>
                <c:pt idx="653">
                  <c:v>5.9959544523808344</c:v>
                </c:pt>
                <c:pt idx="654">
                  <c:v>5.9959544523808344</c:v>
                </c:pt>
                <c:pt idx="655">
                  <c:v>5.9959544523808344</c:v>
                </c:pt>
                <c:pt idx="656">
                  <c:v>5.9959544523808344</c:v>
                </c:pt>
                <c:pt idx="657">
                  <c:v>5.9959544523808344</c:v>
                </c:pt>
                <c:pt idx="658">
                  <c:v>5.9959544523808344</c:v>
                </c:pt>
                <c:pt idx="659">
                  <c:v>5.9959544523808344</c:v>
                </c:pt>
                <c:pt idx="660">
                  <c:v>5.9959544523808344</c:v>
                </c:pt>
                <c:pt idx="661">
                  <c:v>5.9959544523808344</c:v>
                </c:pt>
                <c:pt idx="662">
                  <c:v>5.9959544523808344</c:v>
                </c:pt>
                <c:pt idx="663">
                  <c:v>5.9959544523808344</c:v>
                </c:pt>
                <c:pt idx="664">
                  <c:v>5.9962033014551555</c:v>
                </c:pt>
                <c:pt idx="665">
                  <c:v>5.9962033014551555</c:v>
                </c:pt>
                <c:pt idx="666">
                  <c:v>5.9962033014551555</c:v>
                </c:pt>
                <c:pt idx="667">
                  <c:v>5.9962033014551555</c:v>
                </c:pt>
                <c:pt idx="668">
                  <c:v>5.9962033014551555</c:v>
                </c:pt>
                <c:pt idx="669">
                  <c:v>5.9962033014551555</c:v>
                </c:pt>
                <c:pt idx="670">
                  <c:v>5.9962033014551555</c:v>
                </c:pt>
                <c:pt idx="671">
                  <c:v>5.9962033014551555</c:v>
                </c:pt>
                <c:pt idx="672">
                  <c:v>5.9962033014551555</c:v>
                </c:pt>
                <c:pt idx="673">
                  <c:v>5.9962033014551555</c:v>
                </c:pt>
                <c:pt idx="674">
                  <c:v>5.9962033014551555</c:v>
                </c:pt>
                <c:pt idx="675">
                  <c:v>5.9962033014551555</c:v>
                </c:pt>
                <c:pt idx="676">
                  <c:v>5.9962033014551555</c:v>
                </c:pt>
                <c:pt idx="677">
                  <c:v>5.9962033014551555</c:v>
                </c:pt>
                <c:pt idx="678">
                  <c:v>5.9962033014551555</c:v>
                </c:pt>
                <c:pt idx="679">
                  <c:v>5.9962033014551555</c:v>
                </c:pt>
                <c:pt idx="680">
                  <c:v>5.9962033014551555</c:v>
                </c:pt>
                <c:pt idx="681">
                  <c:v>5.9962033014551555</c:v>
                </c:pt>
                <c:pt idx="682">
                  <c:v>5.9962033014551555</c:v>
                </c:pt>
                <c:pt idx="683">
                  <c:v>5.9962033014551555</c:v>
                </c:pt>
                <c:pt idx="684">
                  <c:v>5.9962033014551555</c:v>
                </c:pt>
                <c:pt idx="685">
                  <c:v>5.9962033014551555</c:v>
                </c:pt>
                <c:pt idx="686">
                  <c:v>5.9962033014551555</c:v>
                </c:pt>
                <c:pt idx="687">
                  <c:v>5.9962033014551555</c:v>
                </c:pt>
                <c:pt idx="688">
                  <c:v>5.9962033014551555</c:v>
                </c:pt>
                <c:pt idx="689">
                  <c:v>5.9964520886190211</c:v>
                </c:pt>
                <c:pt idx="690">
                  <c:v>5.9964520886190211</c:v>
                </c:pt>
                <c:pt idx="691">
                  <c:v>5.9964520886190211</c:v>
                </c:pt>
                <c:pt idx="692">
                  <c:v>5.9964520886190211</c:v>
                </c:pt>
                <c:pt idx="693">
                  <c:v>5.9964520886190211</c:v>
                </c:pt>
                <c:pt idx="694">
                  <c:v>5.9964520886190211</c:v>
                </c:pt>
                <c:pt idx="695">
                  <c:v>5.9964520886190211</c:v>
                </c:pt>
                <c:pt idx="696">
                  <c:v>5.9964520886190211</c:v>
                </c:pt>
                <c:pt idx="697">
                  <c:v>5.9964520886190211</c:v>
                </c:pt>
                <c:pt idx="698">
                  <c:v>5.9964520886190211</c:v>
                </c:pt>
                <c:pt idx="699">
                  <c:v>5.9964520886190211</c:v>
                </c:pt>
                <c:pt idx="700">
                  <c:v>5.9964520886190211</c:v>
                </c:pt>
                <c:pt idx="701">
                  <c:v>5.9964520886190211</c:v>
                </c:pt>
                <c:pt idx="702">
                  <c:v>5.9964520886190211</c:v>
                </c:pt>
                <c:pt idx="703">
                  <c:v>5.9964520886190211</c:v>
                </c:pt>
                <c:pt idx="704">
                  <c:v>5.9964520886190211</c:v>
                </c:pt>
                <c:pt idx="705">
                  <c:v>5.9964520886190211</c:v>
                </c:pt>
                <c:pt idx="706">
                  <c:v>5.9964520886190211</c:v>
                </c:pt>
                <c:pt idx="707">
                  <c:v>5.9964520886190211</c:v>
                </c:pt>
                <c:pt idx="708">
                  <c:v>5.9967008139032281</c:v>
                </c:pt>
                <c:pt idx="709">
                  <c:v>5.9967008139032281</c:v>
                </c:pt>
                <c:pt idx="710">
                  <c:v>5.9967008139032281</c:v>
                </c:pt>
                <c:pt idx="711">
                  <c:v>5.9967008139032281</c:v>
                </c:pt>
                <c:pt idx="712">
                  <c:v>5.9967008139032281</c:v>
                </c:pt>
                <c:pt idx="713">
                  <c:v>5.9967008139032281</c:v>
                </c:pt>
                <c:pt idx="714">
                  <c:v>5.9967008139032281</c:v>
                </c:pt>
                <c:pt idx="715">
                  <c:v>5.9967008139032281</c:v>
                </c:pt>
                <c:pt idx="716">
                  <c:v>5.9967008139032281</c:v>
                </c:pt>
                <c:pt idx="717">
                  <c:v>5.9967008139032281</c:v>
                </c:pt>
                <c:pt idx="718">
                  <c:v>5.9967008139032281</c:v>
                </c:pt>
                <c:pt idx="719">
                  <c:v>5.9967008139032281</c:v>
                </c:pt>
                <c:pt idx="720">
                  <c:v>5.9967008139032281</c:v>
                </c:pt>
                <c:pt idx="721">
                  <c:v>5.9967008139032281</c:v>
                </c:pt>
                <c:pt idx="722">
                  <c:v>5.9967008139032281</c:v>
                </c:pt>
                <c:pt idx="723">
                  <c:v>5.9967008139032281</c:v>
                </c:pt>
                <c:pt idx="724">
                  <c:v>5.9969494773385517</c:v>
                </c:pt>
                <c:pt idx="725">
                  <c:v>5.9969494773385517</c:v>
                </c:pt>
                <c:pt idx="726">
                  <c:v>5.9969494773385517</c:v>
                </c:pt>
                <c:pt idx="727">
                  <c:v>5.9969494773385517</c:v>
                </c:pt>
                <c:pt idx="728">
                  <c:v>5.9969494773385517</c:v>
                </c:pt>
                <c:pt idx="729">
                  <c:v>5.9969494773385517</c:v>
                </c:pt>
                <c:pt idx="730">
                  <c:v>5.9969494773385517</c:v>
                </c:pt>
                <c:pt idx="731">
                  <c:v>5.9969494773385517</c:v>
                </c:pt>
                <c:pt idx="732">
                  <c:v>5.9969494773385517</c:v>
                </c:pt>
                <c:pt idx="733">
                  <c:v>5.9969494773385517</c:v>
                </c:pt>
                <c:pt idx="734">
                  <c:v>5.9969494773385517</c:v>
                </c:pt>
                <c:pt idx="735">
                  <c:v>5.9969494773385517</c:v>
                </c:pt>
                <c:pt idx="736">
                  <c:v>5.9969494773385517</c:v>
                </c:pt>
                <c:pt idx="737">
                  <c:v>5.9969494773385517</c:v>
                </c:pt>
                <c:pt idx="738">
                  <c:v>5.9969494773385517</c:v>
                </c:pt>
                <c:pt idx="739">
                  <c:v>5.9969494773385517</c:v>
                </c:pt>
                <c:pt idx="740">
                  <c:v>5.9969494773385517</c:v>
                </c:pt>
                <c:pt idx="741">
                  <c:v>5.9971980789557424</c:v>
                </c:pt>
                <c:pt idx="742">
                  <c:v>5.9971980789557424</c:v>
                </c:pt>
                <c:pt idx="743">
                  <c:v>5.9971980789557424</c:v>
                </c:pt>
                <c:pt idx="744">
                  <c:v>5.9971980789557424</c:v>
                </c:pt>
                <c:pt idx="745">
                  <c:v>5.9971980789557424</c:v>
                </c:pt>
                <c:pt idx="746">
                  <c:v>5.9971980789557424</c:v>
                </c:pt>
                <c:pt idx="747">
                  <c:v>5.9971980789557424</c:v>
                </c:pt>
                <c:pt idx="748">
                  <c:v>5.9971980789557424</c:v>
                </c:pt>
                <c:pt idx="749">
                  <c:v>5.9971980789557424</c:v>
                </c:pt>
                <c:pt idx="750">
                  <c:v>5.9971980789557424</c:v>
                </c:pt>
                <c:pt idx="751">
                  <c:v>5.9971980789557424</c:v>
                </c:pt>
                <c:pt idx="752">
                  <c:v>5.9971980789557424</c:v>
                </c:pt>
                <c:pt idx="753">
                  <c:v>5.9971980789557424</c:v>
                </c:pt>
                <c:pt idx="754">
                  <c:v>5.9971980789557424</c:v>
                </c:pt>
                <c:pt idx="755">
                  <c:v>5.9971980789557424</c:v>
                </c:pt>
                <c:pt idx="756">
                  <c:v>5.9971980789557424</c:v>
                </c:pt>
                <c:pt idx="757">
                  <c:v>5.9971980789557424</c:v>
                </c:pt>
                <c:pt idx="758">
                  <c:v>5.9974466187855295</c:v>
                </c:pt>
                <c:pt idx="759">
                  <c:v>5.9974466187855295</c:v>
                </c:pt>
                <c:pt idx="760">
                  <c:v>5.9974466187855295</c:v>
                </c:pt>
                <c:pt idx="761">
                  <c:v>5.9974466187855295</c:v>
                </c:pt>
                <c:pt idx="762">
                  <c:v>5.9974466187855295</c:v>
                </c:pt>
                <c:pt idx="763">
                  <c:v>5.9974466187855295</c:v>
                </c:pt>
                <c:pt idx="764">
                  <c:v>5.9974466187855295</c:v>
                </c:pt>
                <c:pt idx="765">
                  <c:v>5.9974466187855295</c:v>
                </c:pt>
                <c:pt idx="766">
                  <c:v>5.9974466187855295</c:v>
                </c:pt>
                <c:pt idx="767">
                  <c:v>5.9974466187855295</c:v>
                </c:pt>
                <c:pt idx="768">
                  <c:v>5.9974466187855295</c:v>
                </c:pt>
                <c:pt idx="769">
                  <c:v>5.9974466187855295</c:v>
                </c:pt>
                <c:pt idx="770">
                  <c:v>5.9974466187855295</c:v>
                </c:pt>
                <c:pt idx="771">
                  <c:v>5.9974466187855295</c:v>
                </c:pt>
                <c:pt idx="772">
                  <c:v>5.9974466187855295</c:v>
                </c:pt>
                <c:pt idx="773">
                  <c:v>5.9974466187855295</c:v>
                </c:pt>
                <c:pt idx="774">
                  <c:v>5.9974466187855295</c:v>
                </c:pt>
                <c:pt idx="775">
                  <c:v>5.9974466187855295</c:v>
                </c:pt>
                <c:pt idx="776">
                  <c:v>5.9974466187855295</c:v>
                </c:pt>
                <c:pt idx="777">
                  <c:v>5.9974466187855295</c:v>
                </c:pt>
                <c:pt idx="778">
                  <c:v>5.9974466187855295</c:v>
                </c:pt>
                <c:pt idx="779">
                  <c:v>5.9976950968586182</c:v>
                </c:pt>
                <c:pt idx="780">
                  <c:v>5.9976950968586182</c:v>
                </c:pt>
                <c:pt idx="781">
                  <c:v>5.9976950968586182</c:v>
                </c:pt>
                <c:pt idx="782">
                  <c:v>5.9976950968586182</c:v>
                </c:pt>
                <c:pt idx="783">
                  <c:v>5.9976950968586182</c:v>
                </c:pt>
                <c:pt idx="784">
                  <c:v>5.9976950968586182</c:v>
                </c:pt>
                <c:pt idx="785">
                  <c:v>5.9976950968586182</c:v>
                </c:pt>
                <c:pt idx="786">
                  <c:v>5.9976950968586182</c:v>
                </c:pt>
                <c:pt idx="787">
                  <c:v>5.9976950968586182</c:v>
                </c:pt>
                <c:pt idx="788">
                  <c:v>5.9976950968586182</c:v>
                </c:pt>
                <c:pt idx="789">
                  <c:v>5.9976950968586182</c:v>
                </c:pt>
                <c:pt idx="790">
                  <c:v>5.9976950968586182</c:v>
                </c:pt>
                <c:pt idx="791">
                  <c:v>5.9976950968586182</c:v>
                </c:pt>
                <c:pt idx="792">
                  <c:v>5.9976950968586182</c:v>
                </c:pt>
                <c:pt idx="793">
                  <c:v>5.9976950968586182</c:v>
                </c:pt>
                <c:pt idx="794">
                  <c:v>5.9976950968586182</c:v>
                </c:pt>
                <c:pt idx="795">
                  <c:v>5.9979435132056915</c:v>
                </c:pt>
                <c:pt idx="796">
                  <c:v>5.9979435132056915</c:v>
                </c:pt>
                <c:pt idx="797">
                  <c:v>5.9979435132056915</c:v>
                </c:pt>
                <c:pt idx="798">
                  <c:v>5.9979435132056915</c:v>
                </c:pt>
                <c:pt idx="799">
                  <c:v>5.9979435132056915</c:v>
                </c:pt>
                <c:pt idx="800">
                  <c:v>5.9979435132056915</c:v>
                </c:pt>
                <c:pt idx="801">
                  <c:v>5.9979435132056915</c:v>
                </c:pt>
                <c:pt idx="802">
                  <c:v>5.9979435132056915</c:v>
                </c:pt>
                <c:pt idx="803">
                  <c:v>5.9979435132056915</c:v>
                </c:pt>
                <c:pt idx="804">
                  <c:v>5.9979435132056915</c:v>
                </c:pt>
                <c:pt idx="805">
                  <c:v>5.9979435132056915</c:v>
                </c:pt>
                <c:pt idx="806">
                  <c:v>5.9979435132056915</c:v>
                </c:pt>
                <c:pt idx="807">
                  <c:v>5.9979435132056915</c:v>
                </c:pt>
                <c:pt idx="808">
                  <c:v>5.9979435132056915</c:v>
                </c:pt>
                <c:pt idx="809">
                  <c:v>5.9981918678574084</c:v>
                </c:pt>
                <c:pt idx="810">
                  <c:v>5.9981918678574084</c:v>
                </c:pt>
                <c:pt idx="811">
                  <c:v>5.9981918678574084</c:v>
                </c:pt>
                <c:pt idx="812">
                  <c:v>5.9981918678574084</c:v>
                </c:pt>
                <c:pt idx="813">
                  <c:v>5.9981918678574084</c:v>
                </c:pt>
                <c:pt idx="814">
                  <c:v>5.9981918678574084</c:v>
                </c:pt>
                <c:pt idx="815">
                  <c:v>5.9981918678574084</c:v>
                </c:pt>
                <c:pt idx="816">
                  <c:v>5.9981918678574084</c:v>
                </c:pt>
                <c:pt idx="817">
                  <c:v>5.9981918678574084</c:v>
                </c:pt>
                <c:pt idx="818">
                  <c:v>5.9981918678574084</c:v>
                </c:pt>
                <c:pt idx="819">
                  <c:v>5.9981918678574084</c:v>
                </c:pt>
                <c:pt idx="820">
                  <c:v>5.9981918678574084</c:v>
                </c:pt>
                <c:pt idx="821">
                  <c:v>5.9981918678574084</c:v>
                </c:pt>
                <c:pt idx="822">
                  <c:v>5.9981918678574084</c:v>
                </c:pt>
                <c:pt idx="823">
                  <c:v>5.9981918678574084</c:v>
                </c:pt>
                <c:pt idx="824">
                  <c:v>5.9981918678574084</c:v>
                </c:pt>
                <c:pt idx="825">
                  <c:v>5.9984401608444076</c:v>
                </c:pt>
                <c:pt idx="826">
                  <c:v>5.9984401608444076</c:v>
                </c:pt>
                <c:pt idx="827">
                  <c:v>5.9984401608444076</c:v>
                </c:pt>
                <c:pt idx="828">
                  <c:v>5.9984401608444076</c:v>
                </c:pt>
                <c:pt idx="829">
                  <c:v>5.9984401608444076</c:v>
                </c:pt>
                <c:pt idx="830">
                  <c:v>5.9984401608444076</c:v>
                </c:pt>
                <c:pt idx="831">
                  <c:v>5.9984401608444076</c:v>
                </c:pt>
                <c:pt idx="832">
                  <c:v>5.9984401608444076</c:v>
                </c:pt>
                <c:pt idx="833">
                  <c:v>5.9984401608444076</c:v>
                </c:pt>
                <c:pt idx="834">
                  <c:v>5.9984401608444076</c:v>
                </c:pt>
                <c:pt idx="835">
                  <c:v>5.9984401608444076</c:v>
                </c:pt>
                <c:pt idx="836">
                  <c:v>5.9984401608444076</c:v>
                </c:pt>
                <c:pt idx="837">
                  <c:v>5.9984401608444076</c:v>
                </c:pt>
                <c:pt idx="838">
                  <c:v>5.9984401608444076</c:v>
                </c:pt>
                <c:pt idx="839">
                  <c:v>5.9986883921973018</c:v>
                </c:pt>
                <c:pt idx="840">
                  <c:v>5.9986883921973018</c:v>
                </c:pt>
                <c:pt idx="841">
                  <c:v>5.9986883921973018</c:v>
                </c:pt>
                <c:pt idx="842">
                  <c:v>5.9986883921973018</c:v>
                </c:pt>
                <c:pt idx="843">
                  <c:v>5.9986883921973018</c:v>
                </c:pt>
                <c:pt idx="844">
                  <c:v>5.9986883921973018</c:v>
                </c:pt>
                <c:pt idx="845">
                  <c:v>5.9986883921973018</c:v>
                </c:pt>
                <c:pt idx="846">
                  <c:v>5.9986883921973018</c:v>
                </c:pt>
                <c:pt idx="847">
                  <c:v>5.9986883921973018</c:v>
                </c:pt>
                <c:pt idx="848">
                  <c:v>5.9989365619466826</c:v>
                </c:pt>
                <c:pt idx="849">
                  <c:v>5.9989365619466826</c:v>
                </c:pt>
                <c:pt idx="850">
                  <c:v>5.9989365619466826</c:v>
                </c:pt>
                <c:pt idx="851">
                  <c:v>5.9989365619466826</c:v>
                </c:pt>
                <c:pt idx="852">
                  <c:v>5.9989365619466826</c:v>
                </c:pt>
                <c:pt idx="853">
                  <c:v>5.9989365619466826</c:v>
                </c:pt>
                <c:pt idx="854">
                  <c:v>5.9989365619466826</c:v>
                </c:pt>
                <c:pt idx="855">
                  <c:v>5.9989365619466826</c:v>
                </c:pt>
                <c:pt idx="856">
                  <c:v>5.9989365619466826</c:v>
                </c:pt>
                <c:pt idx="857">
                  <c:v>5.9989365619466826</c:v>
                </c:pt>
                <c:pt idx="858">
                  <c:v>5.9989365619466826</c:v>
                </c:pt>
                <c:pt idx="859">
                  <c:v>5.9991846701231202</c:v>
                </c:pt>
                <c:pt idx="860">
                  <c:v>5.9991846701231202</c:v>
                </c:pt>
                <c:pt idx="861">
                  <c:v>5.9991846701231202</c:v>
                </c:pt>
                <c:pt idx="862">
                  <c:v>5.9991846701231202</c:v>
                </c:pt>
                <c:pt idx="863">
                  <c:v>5.9991846701231202</c:v>
                </c:pt>
                <c:pt idx="864">
                  <c:v>5.9991846701231202</c:v>
                </c:pt>
                <c:pt idx="865">
                  <c:v>5.9991846701231202</c:v>
                </c:pt>
                <c:pt idx="866">
                  <c:v>5.9991846701231202</c:v>
                </c:pt>
                <c:pt idx="867">
                  <c:v>5.9991846701231202</c:v>
                </c:pt>
                <c:pt idx="868">
                  <c:v>5.9994327167571591</c:v>
                </c:pt>
                <c:pt idx="869">
                  <c:v>5.9994327167571591</c:v>
                </c:pt>
                <c:pt idx="870">
                  <c:v>5.9994327167571591</c:v>
                </c:pt>
                <c:pt idx="871">
                  <c:v>5.9994327167571591</c:v>
                </c:pt>
                <c:pt idx="872">
                  <c:v>5.9994327167571591</c:v>
                </c:pt>
                <c:pt idx="873">
                  <c:v>5.9994327167571591</c:v>
                </c:pt>
                <c:pt idx="874">
                  <c:v>5.9994327167571591</c:v>
                </c:pt>
                <c:pt idx="875">
                  <c:v>5.9994327167571591</c:v>
                </c:pt>
                <c:pt idx="876">
                  <c:v>5.9994327167571591</c:v>
                </c:pt>
                <c:pt idx="877">
                  <c:v>5.9994327167571591</c:v>
                </c:pt>
                <c:pt idx="878">
                  <c:v>5.9996807018793223</c:v>
                </c:pt>
                <c:pt idx="879">
                  <c:v>5.9996807018793223</c:v>
                </c:pt>
                <c:pt idx="880">
                  <c:v>5.9996807018793223</c:v>
                </c:pt>
                <c:pt idx="881">
                  <c:v>5.9996807018793223</c:v>
                </c:pt>
                <c:pt idx="882">
                  <c:v>5.9996807018793223</c:v>
                </c:pt>
                <c:pt idx="883">
                  <c:v>5.9996807018793223</c:v>
                </c:pt>
                <c:pt idx="884">
                  <c:v>5.9996807018793223</c:v>
                </c:pt>
                <c:pt idx="885">
                  <c:v>5.9996807018793223</c:v>
                </c:pt>
                <c:pt idx="886">
                  <c:v>5.9996807018793223</c:v>
                </c:pt>
                <c:pt idx="887">
                  <c:v>5.9996807018793223</c:v>
                </c:pt>
                <c:pt idx="888">
                  <c:v>5.9996807018793223</c:v>
                </c:pt>
                <c:pt idx="889">
                  <c:v>5.9996807018793223</c:v>
                </c:pt>
                <c:pt idx="890">
                  <c:v>5.999928625520111</c:v>
                </c:pt>
                <c:pt idx="891">
                  <c:v>5.999928625520111</c:v>
                </c:pt>
                <c:pt idx="892">
                  <c:v>5.999928625520111</c:v>
                </c:pt>
                <c:pt idx="893">
                  <c:v>5.999928625520111</c:v>
                </c:pt>
                <c:pt idx="894">
                  <c:v>5.999928625520111</c:v>
                </c:pt>
                <c:pt idx="895">
                  <c:v>5.999928625520111</c:v>
                </c:pt>
                <c:pt idx="896">
                  <c:v>5.999928625520111</c:v>
                </c:pt>
                <c:pt idx="897">
                  <c:v>5.999928625520111</c:v>
                </c:pt>
                <c:pt idx="898">
                  <c:v>6.0001764877100037</c:v>
                </c:pt>
                <c:pt idx="899">
                  <c:v>6.0001764877100037</c:v>
                </c:pt>
                <c:pt idx="900">
                  <c:v>6.0001764877100037</c:v>
                </c:pt>
                <c:pt idx="901">
                  <c:v>6.0001764877100037</c:v>
                </c:pt>
                <c:pt idx="902">
                  <c:v>6.0004242884794543</c:v>
                </c:pt>
                <c:pt idx="903">
                  <c:v>6.0004242884794543</c:v>
                </c:pt>
                <c:pt idx="904">
                  <c:v>6.0004242884794543</c:v>
                </c:pt>
                <c:pt idx="905">
                  <c:v>6.0004242884794543</c:v>
                </c:pt>
                <c:pt idx="906">
                  <c:v>6.0004242884794543</c:v>
                </c:pt>
                <c:pt idx="907">
                  <c:v>6.0004242884794543</c:v>
                </c:pt>
                <c:pt idx="908">
                  <c:v>6.0004242884794543</c:v>
                </c:pt>
                <c:pt idx="909">
                  <c:v>6.0004242884794543</c:v>
                </c:pt>
                <c:pt idx="910">
                  <c:v>6.0004242884794543</c:v>
                </c:pt>
                <c:pt idx="911">
                  <c:v>6.0004242884794543</c:v>
                </c:pt>
                <c:pt idx="912">
                  <c:v>6.0004242884794543</c:v>
                </c:pt>
                <c:pt idx="913">
                  <c:v>6.0004242884794543</c:v>
                </c:pt>
                <c:pt idx="914">
                  <c:v>6.0006720278588954</c:v>
                </c:pt>
                <c:pt idx="915">
                  <c:v>6.0006720278588954</c:v>
                </c:pt>
                <c:pt idx="916">
                  <c:v>6.0006720278588954</c:v>
                </c:pt>
                <c:pt idx="917">
                  <c:v>6.0006720278588954</c:v>
                </c:pt>
                <c:pt idx="918">
                  <c:v>6.0006720278588954</c:v>
                </c:pt>
                <c:pt idx="919">
                  <c:v>6.0006720278588954</c:v>
                </c:pt>
                <c:pt idx="920">
                  <c:v>6.0006720278588954</c:v>
                </c:pt>
                <c:pt idx="921">
                  <c:v>6.0009197058787374</c:v>
                </c:pt>
                <c:pt idx="922">
                  <c:v>6.0009197058787374</c:v>
                </c:pt>
                <c:pt idx="923">
                  <c:v>6.0009197058787374</c:v>
                </c:pt>
                <c:pt idx="924">
                  <c:v>6.0009197058787374</c:v>
                </c:pt>
                <c:pt idx="925">
                  <c:v>6.0009197058787374</c:v>
                </c:pt>
                <c:pt idx="926">
                  <c:v>6.0011673225693674</c:v>
                </c:pt>
                <c:pt idx="927">
                  <c:v>6.0011673225693674</c:v>
                </c:pt>
                <c:pt idx="928">
                  <c:v>6.0011673225693674</c:v>
                </c:pt>
                <c:pt idx="929">
                  <c:v>6.0014148779611505</c:v>
                </c:pt>
                <c:pt idx="930">
                  <c:v>6.0014148779611505</c:v>
                </c:pt>
                <c:pt idx="931">
                  <c:v>6.0014148779611505</c:v>
                </c:pt>
                <c:pt idx="932">
                  <c:v>6.0014148779611505</c:v>
                </c:pt>
                <c:pt idx="933">
                  <c:v>6.0014148779611505</c:v>
                </c:pt>
                <c:pt idx="934">
                  <c:v>6.0014148779611505</c:v>
                </c:pt>
                <c:pt idx="935">
                  <c:v>6.0014148779611505</c:v>
                </c:pt>
                <c:pt idx="936">
                  <c:v>6.0014148779611505</c:v>
                </c:pt>
                <c:pt idx="937">
                  <c:v>6.0014148779611505</c:v>
                </c:pt>
                <c:pt idx="938">
                  <c:v>6.0016623720844278</c:v>
                </c:pt>
                <c:pt idx="939">
                  <c:v>6.0016623720844278</c:v>
                </c:pt>
                <c:pt idx="940">
                  <c:v>6.0016623720844278</c:v>
                </c:pt>
                <c:pt idx="941">
                  <c:v>6.0016623720844278</c:v>
                </c:pt>
                <c:pt idx="942">
                  <c:v>6.0016623720844278</c:v>
                </c:pt>
                <c:pt idx="943">
                  <c:v>6.0016623720844278</c:v>
                </c:pt>
                <c:pt idx="944">
                  <c:v>6.0016623720844278</c:v>
                </c:pt>
                <c:pt idx="945">
                  <c:v>6.0019098049695208</c:v>
                </c:pt>
                <c:pt idx="946">
                  <c:v>6.0019098049695208</c:v>
                </c:pt>
                <c:pt idx="947">
                  <c:v>6.0019098049695208</c:v>
                </c:pt>
                <c:pt idx="948">
                  <c:v>6.0021571766467252</c:v>
                </c:pt>
                <c:pt idx="949">
                  <c:v>6.0021571766467252</c:v>
                </c:pt>
                <c:pt idx="950">
                  <c:v>6.0021571766467252</c:v>
                </c:pt>
                <c:pt idx="951">
                  <c:v>6.0021571766467252</c:v>
                </c:pt>
                <c:pt idx="952">
                  <c:v>6.0021571766467252</c:v>
                </c:pt>
                <c:pt idx="953">
                  <c:v>6.0024044871463165</c:v>
                </c:pt>
                <c:pt idx="954">
                  <c:v>6.0024044871463165</c:v>
                </c:pt>
                <c:pt idx="955">
                  <c:v>6.0024044871463165</c:v>
                </c:pt>
                <c:pt idx="956">
                  <c:v>6.0026517364985468</c:v>
                </c:pt>
                <c:pt idx="957">
                  <c:v>6.0028989247336453</c:v>
                </c:pt>
                <c:pt idx="958">
                  <c:v>6.0028989247336453</c:v>
                </c:pt>
                <c:pt idx="959">
                  <c:v>6.0028989247336453</c:v>
                </c:pt>
                <c:pt idx="960">
                  <c:v>6.0028989247336453</c:v>
                </c:pt>
                <c:pt idx="961">
                  <c:v>6.0031460518818198</c:v>
                </c:pt>
                <c:pt idx="962">
                  <c:v>6.003393117973256</c:v>
                </c:pt>
                <c:pt idx="963">
                  <c:v>6.0036401230381156</c:v>
                </c:pt>
                <c:pt idx="964">
                  <c:v>6.0036401230381156</c:v>
                </c:pt>
                <c:pt idx="965">
                  <c:v>6.0036401230381156</c:v>
                </c:pt>
                <c:pt idx="966">
                  <c:v>6.0036401230381156</c:v>
                </c:pt>
                <c:pt idx="967">
                  <c:v>6.0036401230381156</c:v>
                </c:pt>
                <c:pt idx="968">
                  <c:v>6.0038870671065387</c:v>
                </c:pt>
                <c:pt idx="969">
                  <c:v>6.0038870671065387</c:v>
                </c:pt>
                <c:pt idx="970">
                  <c:v>6.0038870671065387</c:v>
                </c:pt>
                <c:pt idx="971">
                  <c:v>6.0041339502086446</c:v>
                </c:pt>
                <c:pt idx="972">
                  <c:v>6.0041339502086446</c:v>
                </c:pt>
                <c:pt idx="973">
                  <c:v>6.0041339502086446</c:v>
                </c:pt>
                <c:pt idx="974">
                  <c:v>6.0041339502086446</c:v>
                </c:pt>
                <c:pt idx="975">
                  <c:v>6.0043807723745282</c:v>
                </c:pt>
                <c:pt idx="976">
                  <c:v>6.0043807723745282</c:v>
                </c:pt>
                <c:pt idx="977">
                  <c:v>6.0043807723745282</c:v>
                </c:pt>
                <c:pt idx="978">
                  <c:v>6.0043807723745282</c:v>
                </c:pt>
                <c:pt idx="979">
                  <c:v>6.0046275336342632</c:v>
                </c:pt>
                <c:pt idx="980">
                  <c:v>6.0048742340178993</c:v>
                </c:pt>
                <c:pt idx="981">
                  <c:v>6.0051208735554678</c:v>
                </c:pt>
                <c:pt idx="982">
                  <c:v>6.0051208735554678</c:v>
                </c:pt>
                <c:pt idx="983">
                  <c:v>6.0051208735554678</c:v>
                </c:pt>
                <c:pt idx="984">
                  <c:v>6.0053674522769738</c:v>
                </c:pt>
                <c:pt idx="985">
                  <c:v>6.0053674522769738</c:v>
                </c:pt>
                <c:pt idx="986">
                  <c:v>6.0053674522769738</c:v>
                </c:pt>
                <c:pt idx="987">
                  <c:v>6.0053674522769738</c:v>
                </c:pt>
                <c:pt idx="988">
                  <c:v>6.0056139702124014</c:v>
                </c:pt>
                <c:pt idx="989">
                  <c:v>6.0056139702124014</c:v>
                </c:pt>
                <c:pt idx="990">
                  <c:v>6.0056139702124014</c:v>
                </c:pt>
                <c:pt idx="991">
                  <c:v>6.0056139702124014</c:v>
                </c:pt>
                <c:pt idx="992">
                  <c:v>6.0058604273917142</c:v>
                </c:pt>
                <c:pt idx="993">
                  <c:v>6.0061068238448518</c:v>
                </c:pt>
                <c:pt idx="994">
                  <c:v>6.0061068238448518</c:v>
                </c:pt>
                <c:pt idx="995">
                  <c:v>6.0061068238448518</c:v>
                </c:pt>
                <c:pt idx="996">
                  <c:v>6.0063531596017325</c:v>
                </c:pt>
                <c:pt idx="997">
                  <c:v>6.0065994346922524</c:v>
                </c:pt>
                <c:pt idx="998">
                  <c:v>6.0065994346922524</c:v>
                </c:pt>
                <c:pt idx="999">
                  <c:v>6.0107768581403551</c:v>
                </c:pt>
              </c:numCache>
            </c:numRef>
          </c:xVal>
          <c:yVal>
            <c:numRef>
              <c:f>Arkusz1!$G$2:$G$1001</c:f>
              <c:numCache>
                <c:formatCode>General</c:formatCode>
                <c:ptCount val="1000"/>
                <c:pt idx="0">
                  <c:v>9.99000999000999E-4</c:v>
                </c:pt>
                <c:pt idx="1">
                  <c:v>1.998001998001998E-3</c:v>
                </c:pt>
                <c:pt idx="2">
                  <c:v>2.997002997002997E-3</c:v>
                </c:pt>
                <c:pt idx="3">
                  <c:v>3.996003996003996E-3</c:v>
                </c:pt>
                <c:pt idx="4">
                  <c:v>4.995004995004995E-3</c:v>
                </c:pt>
                <c:pt idx="5">
                  <c:v>5.994005994005994E-3</c:v>
                </c:pt>
                <c:pt idx="6">
                  <c:v>6.993006993006993E-3</c:v>
                </c:pt>
                <c:pt idx="7">
                  <c:v>7.992007992007992E-3</c:v>
                </c:pt>
                <c:pt idx="8">
                  <c:v>8.9910089910089919E-3</c:v>
                </c:pt>
                <c:pt idx="9">
                  <c:v>9.99000999000999E-3</c:v>
                </c:pt>
                <c:pt idx="10">
                  <c:v>1.098901098901099E-2</c:v>
                </c:pt>
                <c:pt idx="11">
                  <c:v>1.1988011988011988E-2</c:v>
                </c:pt>
                <c:pt idx="12">
                  <c:v>1.2987012987012988E-2</c:v>
                </c:pt>
                <c:pt idx="13">
                  <c:v>1.3986013986013986E-2</c:v>
                </c:pt>
                <c:pt idx="14">
                  <c:v>1.4985014985014986E-2</c:v>
                </c:pt>
                <c:pt idx="15">
                  <c:v>1.5984015984015984E-2</c:v>
                </c:pt>
                <c:pt idx="16">
                  <c:v>1.6983016983016984E-2</c:v>
                </c:pt>
                <c:pt idx="17">
                  <c:v>1.7982017982017984E-2</c:v>
                </c:pt>
                <c:pt idx="18">
                  <c:v>1.898101898101898E-2</c:v>
                </c:pt>
                <c:pt idx="19">
                  <c:v>1.998001998001998E-2</c:v>
                </c:pt>
                <c:pt idx="20">
                  <c:v>2.097902097902098E-2</c:v>
                </c:pt>
                <c:pt idx="21">
                  <c:v>2.197802197802198E-2</c:v>
                </c:pt>
                <c:pt idx="22">
                  <c:v>2.2977022977022976E-2</c:v>
                </c:pt>
                <c:pt idx="23">
                  <c:v>2.3976023976023976E-2</c:v>
                </c:pt>
                <c:pt idx="24">
                  <c:v>2.4975024975024976E-2</c:v>
                </c:pt>
                <c:pt idx="25">
                  <c:v>2.5974025974025976E-2</c:v>
                </c:pt>
                <c:pt idx="26">
                  <c:v>2.6973026973026972E-2</c:v>
                </c:pt>
                <c:pt idx="27">
                  <c:v>2.7972027972027972E-2</c:v>
                </c:pt>
                <c:pt idx="28">
                  <c:v>2.8971028971028972E-2</c:v>
                </c:pt>
                <c:pt idx="29">
                  <c:v>2.9970029970029972E-2</c:v>
                </c:pt>
                <c:pt idx="30">
                  <c:v>3.0969030969030968E-2</c:v>
                </c:pt>
                <c:pt idx="31">
                  <c:v>3.1968031968031968E-2</c:v>
                </c:pt>
                <c:pt idx="32">
                  <c:v>3.2967032967032968E-2</c:v>
                </c:pt>
                <c:pt idx="33">
                  <c:v>3.3966033966033968E-2</c:v>
                </c:pt>
                <c:pt idx="34">
                  <c:v>3.4965034965034968E-2</c:v>
                </c:pt>
                <c:pt idx="35">
                  <c:v>3.5964035964035967E-2</c:v>
                </c:pt>
                <c:pt idx="36">
                  <c:v>3.696303696303696E-2</c:v>
                </c:pt>
                <c:pt idx="37">
                  <c:v>3.796203796203796E-2</c:v>
                </c:pt>
                <c:pt idx="38">
                  <c:v>3.896103896103896E-2</c:v>
                </c:pt>
                <c:pt idx="39">
                  <c:v>3.996003996003996E-2</c:v>
                </c:pt>
                <c:pt idx="40">
                  <c:v>4.095904095904096E-2</c:v>
                </c:pt>
                <c:pt idx="41">
                  <c:v>4.195804195804196E-2</c:v>
                </c:pt>
                <c:pt idx="42">
                  <c:v>4.295704295704296E-2</c:v>
                </c:pt>
                <c:pt idx="43">
                  <c:v>4.3956043956043959E-2</c:v>
                </c:pt>
                <c:pt idx="44">
                  <c:v>4.4955044955044952E-2</c:v>
                </c:pt>
                <c:pt idx="45">
                  <c:v>4.5954045954045952E-2</c:v>
                </c:pt>
                <c:pt idx="46">
                  <c:v>4.6953046953046952E-2</c:v>
                </c:pt>
                <c:pt idx="47">
                  <c:v>4.7952047952047952E-2</c:v>
                </c:pt>
                <c:pt idx="48">
                  <c:v>4.8951048951048952E-2</c:v>
                </c:pt>
                <c:pt idx="49">
                  <c:v>4.9950049950049952E-2</c:v>
                </c:pt>
                <c:pt idx="50">
                  <c:v>5.0949050949050952E-2</c:v>
                </c:pt>
                <c:pt idx="51">
                  <c:v>5.1948051948051951E-2</c:v>
                </c:pt>
                <c:pt idx="52">
                  <c:v>5.2947052947052944E-2</c:v>
                </c:pt>
                <c:pt idx="53">
                  <c:v>5.3946053946053944E-2</c:v>
                </c:pt>
                <c:pt idx="54">
                  <c:v>5.4945054945054944E-2</c:v>
                </c:pt>
                <c:pt idx="55">
                  <c:v>5.5944055944055944E-2</c:v>
                </c:pt>
                <c:pt idx="56">
                  <c:v>5.6943056943056944E-2</c:v>
                </c:pt>
                <c:pt idx="57">
                  <c:v>5.7942057942057944E-2</c:v>
                </c:pt>
                <c:pt idx="58">
                  <c:v>5.8941058941058944E-2</c:v>
                </c:pt>
                <c:pt idx="59">
                  <c:v>5.9940059940059943E-2</c:v>
                </c:pt>
                <c:pt idx="60">
                  <c:v>6.0939060939060936E-2</c:v>
                </c:pt>
                <c:pt idx="61">
                  <c:v>6.1938061938061936E-2</c:v>
                </c:pt>
                <c:pt idx="62">
                  <c:v>6.2937062937062943E-2</c:v>
                </c:pt>
                <c:pt idx="63">
                  <c:v>6.3936063936063936E-2</c:v>
                </c:pt>
                <c:pt idx="64">
                  <c:v>6.4935064935064929E-2</c:v>
                </c:pt>
                <c:pt idx="65">
                  <c:v>6.5934065934065936E-2</c:v>
                </c:pt>
                <c:pt idx="66">
                  <c:v>6.6933066933066929E-2</c:v>
                </c:pt>
                <c:pt idx="67">
                  <c:v>6.7932067932067935E-2</c:v>
                </c:pt>
                <c:pt idx="68">
                  <c:v>6.8931068931068928E-2</c:v>
                </c:pt>
                <c:pt idx="69">
                  <c:v>6.9930069930069935E-2</c:v>
                </c:pt>
                <c:pt idx="70">
                  <c:v>7.0929070929070928E-2</c:v>
                </c:pt>
                <c:pt idx="71">
                  <c:v>7.1928071928071935E-2</c:v>
                </c:pt>
                <c:pt idx="72">
                  <c:v>7.2927072927072928E-2</c:v>
                </c:pt>
                <c:pt idx="73">
                  <c:v>7.3926073926073921E-2</c:v>
                </c:pt>
                <c:pt idx="74">
                  <c:v>7.4925074925074928E-2</c:v>
                </c:pt>
                <c:pt idx="75">
                  <c:v>7.5924075924075921E-2</c:v>
                </c:pt>
                <c:pt idx="76">
                  <c:v>7.6923076923076927E-2</c:v>
                </c:pt>
                <c:pt idx="77">
                  <c:v>7.792207792207792E-2</c:v>
                </c:pt>
                <c:pt idx="78">
                  <c:v>7.8921078921078927E-2</c:v>
                </c:pt>
                <c:pt idx="79">
                  <c:v>7.992007992007992E-2</c:v>
                </c:pt>
                <c:pt idx="80">
                  <c:v>8.0919080919080913E-2</c:v>
                </c:pt>
                <c:pt idx="81">
                  <c:v>8.191808191808192E-2</c:v>
                </c:pt>
                <c:pt idx="82">
                  <c:v>8.2917082917082913E-2</c:v>
                </c:pt>
                <c:pt idx="83">
                  <c:v>8.3916083916083919E-2</c:v>
                </c:pt>
                <c:pt idx="84">
                  <c:v>8.4915084915084912E-2</c:v>
                </c:pt>
                <c:pt idx="85">
                  <c:v>8.5914085914085919E-2</c:v>
                </c:pt>
                <c:pt idx="86">
                  <c:v>8.6913086913086912E-2</c:v>
                </c:pt>
                <c:pt idx="87">
                  <c:v>8.7912087912087919E-2</c:v>
                </c:pt>
                <c:pt idx="88">
                  <c:v>8.8911088911088912E-2</c:v>
                </c:pt>
                <c:pt idx="89">
                  <c:v>8.9910089910089905E-2</c:v>
                </c:pt>
                <c:pt idx="90">
                  <c:v>9.0909090909090912E-2</c:v>
                </c:pt>
                <c:pt idx="91">
                  <c:v>9.1908091908091905E-2</c:v>
                </c:pt>
                <c:pt idx="92">
                  <c:v>9.2907092907092911E-2</c:v>
                </c:pt>
                <c:pt idx="93">
                  <c:v>9.3906093906093904E-2</c:v>
                </c:pt>
                <c:pt idx="94">
                  <c:v>9.4905094905094911E-2</c:v>
                </c:pt>
                <c:pt idx="95">
                  <c:v>9.5904095904095904E-2</c:v>
                </c:pt>
                <c:pt idx="96">
                  <c:v>9.6903096903096897E-2</c:v>
                </c:pt>
                <c:pt idx="97">
                  <c:v>9.7902097902097904E-2</c:v>
                </c:pt>
                <c:pt idx="98">
                  <c:v>9.8901098901098897E-2</c:v>
                </c:pt>
                <c:pt idx="99">
                  <c:v>9.9900099900099903E-2</c:v>
                </c:pt>
                <c:pt idx="100">
                  <c:v>0.1008991008991009</c:v>
                </c:pt>
                <c:pt idx="101">
                  <c:v>0.1018981018981019</c:v>
                </c:pt>
                <c:pt idx="102">
                  <c:v>0.1028971028971029</c:v>
                </c:pt>
                <c:pt idx="103">
                  <c:v>0.1038961038961039</c:v>
                </c:pt>
                <c:pt idx="104">
                  <c:v>0.1048951048951049</c:v>
                </c:pt>
                <c:pt idx="105">
                  <c:v>0.10589410589410589</c:v>
                </c:pt>
                <c:pt idx="106">
                  <c:v>0.1068931068931069</c:v>
                </c:pt>
                <c:pt idx="107">
                  <c:v>0.10789210789210789</c:v>
                </c:pt>
                <c:pt idx="108">
                  <c:v>0.1088911088911089</c:v>
                </c:pt>
                <c:pt idx="109">
                  <c:v>0.10989010989010989</c:v>
                </c:pt>
                <c:pt idx="110">
                  <c:v>0.1108891108891109</c:v>
                </c:pt>
                <c:pt idx="111">
                  <c:v>0.11188811188811189</c:v>
                </c:pt>
                <c:pt idx="112">
                  <c:v>0.11288711288711288</c:v>
                </c:pt>
                <c:pt idx="113">
                  <c:v>0.11388611388611389</c:v>
                </c:pt>
                <c:pt idx="114">
                  <c:v>0.11488511488511488</c:v>
                </c:pt>
                <c:pt idx="115">
                  <c:v>0.11588411588411589</c:v>
                </c:pt>
                <c:pt idx="116">
                  <c:v>0.11688311688311688</c:v>
                </c:pt>
                <c:pt idx="117">
                  <c:v>0.11788211788211789</c:v>
                </c:pt>
                <c:pt idx="118">
                  <c:v>0.11888111888111888</c:v>
                </c:pt>
                <c:pt idx="119">
                  <c:v>0.11988011988011989</c:v>
                </c:pt>
                <c:pt idx="120">
                  <c:v>0.12087912087912088</c:v>
                </c:pt>
                <c:pt idx="121">
                  <c:v>0.12187812187812187</c:v>
                </c:pt>
                <c:pt idx="122">
                  <c:v>0.12287712287712288</c:v>
                </c:pt>
                <c:pt idx="123">
                  <c:v>0.12387612387612387</c:v>
                </c:pt>
                <c:pt idx="124">
                  <c:v>0.12487512487512488</c:v>
                </c:pt>
                <c:pt idx="125">
                  <c:v>0.12587412587412589</c:v>
                </c:pt>
                <c:pt idx="126">
                  <c:v>0.12687312687312688</c:v>
                </c:pt>
                <c:pt idx="127">
                  <c:v>0.12787212787212787</c:v>
                </c:pt>
                <c:pt idx="128">
                  <c:v>0.12887112887112886</c:v>
                </c:pt>
                <c:pt idx="129">
                  <c:v>0.12987012987012986</c:v>
                </c:pt>
                <c:pt idx="130">
                  <c:v>0.13086913086913088</c:v>
                </c:pt>
                <c:pt idx="131">
                  <c:v>0.13186813186813187</c:v>
                </c:pt>
                <c:pt idx="132">
                  <c:v>0.13286713286713286</c:v>
                </c:pt>
                <c:pt idx="133">
                  <c:v>0.13386613386613386</c:v>
                </c:pt>
                <c:pt idx="134">
                  <c:v>0.13486513486513488</c:v>
                </c:pt>
                <c:pt idx="135">
                  <c:v>0.13586413586413587</c:v>
                </c:pt>
                <c:pt idx="136">
                  <c:v>0.13686313686313686</c:v>
                </c:pt>
                <c:pt idx="137">
                  <c:v>0.13786213786213786</c:v>
                </c:pt>
                <c:pt idx="138">
                  <c:v>0.13886113886113885</c:v>
                </c:pt>
                <c:pt idx="139">
                  <c:v>0.13986013986013987</c:v>
                </c:pt>
                <c:pt idx="140">
                  <c:v>0.14085914085914086</c:v>
                </c:pt>
                <c:pt idx="141">
                  <c:v>0.14185814185814186</c:v>
                </c:pt>
                <c:pt idx="142">
                  <c:v>0.14285714285714285</c:v>
                </c:pt>
                <c:pt idx="143">
                  <c:v>0.14385614385614387</c:v>
                </c:pt>
                <c:pt idx="144">
                  <c:v>0.14485514485514486</c:v>
                </c:pt>
                <c:pt idx="145">
                  <c:v>0.14585414585414586</c:v>
                </c:pt>
                <c:pt idx="146">
                  <c:v>0.14685314685314685</c:v>
                </c:pt>
                <c:pt idx="147">
                  <c:v>0.14785214785214784</c:v>
                </c:pt>
                <c:pt idx="148">
                  <c:v>0.14885114885114886</c:v>
                </c:pt>
                <c:pt idx="149">
                  <c:v>0.14985014985014986</c:v>
                </c:pt>
                <c:pt idx="150">
                  <c:v>0.15084915084915085</c:v>
                </c:pt>
                <c:pt idx="151">
                  <c:v>0.15184815184815184</c:v>
                </c:pt>
                <c:pt idx="152">
                  <c:v>0.15284715284715283</c:v>
                </c:pt>
                <c:pt idx="153">
                  <c:v>0.15384615384615385</c:v>
                </c:pt>
                <c:pt idx="154">
                  <c:v>0.15484515484515485</c:v>
                </c:pt>
                <c:pt idx="155">
                  <c:v>0.15584415584415584</c:v>
                </c:pt>
                <c:pt idx="156">
                  <c:v>0.15684315684315683</c:v>
                </c:pt>
                <c:pt idx="157">
                  <c:v>0.15784215784215785</c:v>
                </c:pt>
                <c:pt idx="158">
                  <c:v>0.15884115884115885</c:v>
                </c:pt>
                <c:pt idx="159">
                  <c:v>0.15984015984015984</c:v>
                </c:pt>
                <c:pt idx="160">
                  <c:v>0.16083916083916083</c:v>
                </c:pt>
                <c:pt idx="161">
                  <c:v>0.16183816183816183</c:v>
                </c:pt>
                <c:pt idx="162">
                  <c:v>0.16283716283716285</c:v>
                </c:pt>
                <c:pt idx="163">
                  <c:v>0.16383616383616384</c:v>
                </c:pt>
                <c:pt idx="164">
                  <c:v>0.16483516483516483</c:v>
                </c:pt>
                <c:pt idx="165">
                  <c:v>0.16583416583416583</c:v>
                </c:pt>
                <c:pt idx="166">
                  <c:v>0.16683316683316685</c:v>
                </c:pt>
                <c:pt idx="167">
                  <c:v>0.16783216783216784</c:v>
                </c:pt>
                <c:pt idx="168">
                  <c:v>0.16883116883116883</c:v>
                </c:pt>
                <c:pt idx="169">
                  <c:v>0.16983016983016982</c:v>
                </c:pt>
                <c:pt idx="170">
                  <c:v>0.17082917082917082</c:v>
                </c:pt>
                <c:pt idx="171">
                  <c:v>0.17182817182817184</c:v>
                </c:pt>
                <c:pt idx="172">
                  <c:v>0.17282717282717283</c:v>
                </c:pt>
                <c:pt idx="173">
                  <c:v>0.17382617382617382</c:v>
                </c:pt>
                <c:pt idx="174">
                  <c:v>0.17482517482517482</c:v>
                </c:pt>
                <c:pt idx="175">
                  <c:v>0.17582417582417584</c:v>
                </c:pt>
                <c:pt idx="176">
                  <c:v>0.17682317682317683</c:v>
                </c:pt>
                <c:pt idx="177">
                  <c:v>0.17782217782217782</c:v>
                </c:pt>
                <c:pt idx="178">
                  <c:v>0.17882117882117882</c:v>
                </c:pt>
                <c:pt idx="179">
                  <c:v>0.17982017982017981</c:v>
                </c:pt>
                <c:pt idx="180">
                  <c:v>0.18081918081918083</c:v>
                </c:pt>
                <c:pt idx="181">
                  <c:v>0.18181818181818182</c:v>
                </c:pt>
                <c:pt idx="182">
                  <c:v>0.18281718281718282</c:v>
                </c:pt>
                <c:pt idx="183">
                  <c:v>0.18381618381618381</c:v>
                </c:pt>
                <c:pt idx="184">
                  <c:v>0.1848151848151848</c:v>
                </c:pt>
                <c:pt idx="185">
                  <c:v>0.18581418581418582</c:v>
                </c:pt>
                <c:pt idx="186">
                  <c:v>0.18681318681318682</c:v>
                </c:pt>
                <c:pt idx="187">
                  <c:v>0.18781218781218781</c:v>
                </c:pt>
                <c:pt idx="188">
                  <c:v>0.1888111888111888</c:v>
                </c:pt>
                <c:pt idx="189">
                  <c:v>0.18981018981018982</c:v>
                </c:pt>
                <c:pt idx="190">
                  <c:v>0.19080919080919082</c:v>
                </c:pt>
                <c:pt idx="191">
                  <c:v>0.19180819180819181</c:v>
                </c:pt>
                <c:pt idx="192">
                  <c:v>0.1928071928071928</c:v>
                </c:pt>
                <c:pt idx="193">
                  <c:v>0.19380619380619379</c:v>
                </c:pt>
                <c:pt idx="194">
                  <c:v>0.19480519480519481</c:v>
                </c:pt>
                <c:pt idx="195">
                  <c:v>0.19580419580419581</c:v>
                </c:pt>
                <c:pt idx="196">
                  <c:v>0.1968031968031968</c:v>
                </c:pt>
                <c:pt idx="197">
                  <c:v>0.19780219780219779</c:v>
                </c:pt>
                <c:pt idx="198">
                  <c:v>0.19880119880119881</c:v>
                </c:pt>
                <c:pt idx="199">
                  <c:v>0.19980019980019981</c:v>
                </c:pt>
                <c:pt idx="200">
                  <c:v>0.2007992007992008</c:v>
                </c:pt>
                <c:pt idx="201">
                  <c:v>0.20179820179820179</c:v>
                </c:pt>
                <c:pt idx="202">
                  <c:v>0.20279720279720279</c:v>
                </c:pt>
                <c:pt idx="203">
                  <c:v>0.20379620379620381</c:v>
                </c:pt>
                <c:pt idx="204">
                  <c:v>0.2047952047952048</c:v>
                </c:pt>
                <c:pt idx="205">
                  <c:v>0.20579420579420579</c:v>
                </c:pt>
                <c:pt idx="206">
                  <c:v>0.20679320679320679</c:v>
                </c:pt>
                <c:pt idx="207">
                  <c:v>0.20779220779220781</c:v>
                </c:pt>
                <c:pt idx="208">
                  <c:v>0.2087912087912088</c:v>
                </c:pt>
                <c:pt idx="209">
                  <c:v>0.20979020979020979</c:v>
                </c:pt>
                <c:pt idx="210">
                  <c:v>0.21078921078921078</c:v>
                </c:pt>
                <c:pt idx="211">
                  <c:v>0.21178821178821178</c:v>
                </c:pt>
                <c:pt idx="212">
                  <c:v>0.2127872127872128</c:v>
                </c:pt>
                <c:pt idx="213">
                  <c:v>0.21378621378621379</c:v>
                </c:pt>
                <c:pt idx="214">
                  <c:v>0.21478521478521478</c:v>
                </c:pt>
                <c:pt idx="215">
                  <c:v>0.21578421578421578</c:v>
                </c:pt>
                <c:pt idx="216">
                  <c:v>0.21678321678321677</c:v>
                </c:pt>
                <c:pt idx="217">
                  <c:v>0.21778221778221779</c:v>
                </c:pt>
                <c:pt idx="218">
                  <c:v>0.21878121878121878</c:v>
                </c:pt>
                <c:pt idx="219">
                  <c:v>0.21978021978021978</c:v>
                </c:pt>
                <c:pt idx="220">
                  <c:v>0.22077922077922077</c:v>
                </c:pt>
                <c:pt idx="221">
                  <c:v>0.22177822177822179</c:v>
                </c:pt>
                <c:pt idx="222">
                  <c:v>0.22277722277722278</c:v>
                </c:pt>
                <c:pt idx="223">
                  <c:v>0.22377622377622378</c:v>
                </c:pt>
                <c:pt idx="224">
                  <c:v>0.22477522477522477</c:v>
                </c:pt>
                <c:pt idx="225">
                  <c:v>0.22577422577422576</c:v>
                </c:pt>
                <c:pt idx="226">
                  <c:v>0.22677322677322678</c:v>
                </c:pt>
                <c:pt idx="227">
                  <c:v>0.22777222777222778</c:v>
                </c:pt>
                <c:pt idx="228">
                  <c:v>0.22877122877122877</c:v>
                </c:pt>
                <c:pt idx="229">
                  <c:v>0.22977022977022976</c:v>
                </c:pt>
                <c:pt idx="230">
                  <c:v>0.23076923076923078</c:v>
                </c:pt>
                <c:pt idx="231">
                  <c:v>0.23176823176823177</c:v>
                </c:pt>
                <c:pt idx="232">
                  <c:v>0.23276723276723277</c:v>
                </c:pt>
                <c:pt idx="233">
                  <c:v>0.23376623376623376</c:v>
                </c:pt>
                <c:pt idx="234">
                  <c:v>0.23476523476523475</c:v>
                </c:pt>
                <c:pt idx="235">
                  <c:v>0.23576423576423577</c:v>
                </c:pt>
                <c:pt idx="236">
                  <c:v>0.23676323676323677</c:v>
                </c:pt>
                <c:pt idx="237">
                  <c:v>0.23776223776223776</c:v>
                </c:pt>
                <c:pt idx="238">
                  <c:v>0.23876123876123875</c:v>
                </c:pt>
                <c:pt idx="239">
                  <c:v>0.23976023976023977</c:v>
                </c:pt>
                <c:pt idx="240">
                  <c:v>0.24075924075924077</c:v>
                </c:pt>
                <c:pt idx="241">
                  <c:v>0.24175824175824176</c:v>
                </c:pt>
                <c:pt idx="242">
                  <c:v>0.24275724275724275</c:v>
                </c:pt>
                <c:pt idx="243">
                  <c:v>0.24375624375624375</c:v>
                </c:pt>
                <c:pt idx="244">
                  <c:v>0.24475524475524477</c:v>
                </c:pt>
                <c:pt idx="245">
                  <c:v>0.24575424575424576</c:v>
                </c:pt>
                <c:pt idx="246">
                  <c:v>0.24675324675324675</c:v>
                </c:pt>
                <c:pt idx="247">
                  <c:v>0.24775224775224775</c:v>
                </c:pt>
                <c:pt idx="248">
                  <c:v>0.24875124875124874</c:v>
                </c:pt>
                <c:pt idx="249">
                  <c:v>0.24975024975024976</c:v>
                </c:pt>
                <c:pt idx="250">
                  <c:v>0.25074925074925075</c:v>
                </c:pt>
                <c:pt idx="251">
                  <c:v>0.25174825174825177</c:v>
                </c:pt>
                <c:pt idx="252">
                  <c:v>0.25274725274725274</c:v>
                </c:pt>
                <c:pt idx="253">
                  <c:v>0.25374625374625376</c:v>
                </c:pt>
                <c:pt idx="254">
                  <c:v>0.25474525474525472</c:v>
                </c:pt>
                <c:pt idx="255">
                  <c:v>0.25574425574425574</c:v>
                </c:pt>
                <c:pt idx="256">
                  <c:v>0.25674325674325676</c:v>
                </c:pt>
                <c:pt idx="257">
                  <c:v>0.25774225774225773</c:v>
                </c:pt>
                <c:pt idx="258">
                  <c:v>0.25874125874125875</c:v>
                </c:pt>
                <c:pt idx="259">
                  <c:v>0.25974025974025972</c:v>
                </c:pt>
                <c:pt idx="260">
                  <c:v>0.26073926073926074</c:v>
                </c:pt>
                <c:pt idx="261">
                  <c:v>0.26173826173826176</c:v>
                </c:pt>
                <c:pt idx="262">
                  <c:v>0.26273726273726272</c:v>
                </c:pt>
                <c:pt idx="263">
                  <c:v>0.26373626373626374</c:v>
                </c:pt>
                <c:pt idx="264">
                  <c:v>0.26473526473526471</c:v>
                </c:pt>
                <c:pt idx="265">
                  <c:v>0.26573426573426573</c:v>
                </c:pt>
                <c:pt idx="266">
                  <c:v>0.26673326673326675</c:v>
                </c:pt>
                <c:pt idx="267">
                  <c:v>0.26773226773226771</c:v>
                </c:pt>
                <c:pt idx="268">
                  <c:v>0.26873126873126874</c:v>
                </c:pt>
                <c:pt idx="269">
                  <c:v>0.26973026973026976</c:v>
                </c:pt>
                <c:pt idx="270">
                  <c:v>0.27072927072927072</c:v>
                </c:pt>
                <c:pt idx="271">
                  <c:v>0.27172827172827174</c:v>
                </c:pt>
                <c:pt idx="272">
                  <c:v>0.27272727272727271</c:v>
                </c:pt>
                <c:pt idx="273">
                  <c:v>0.27372627372627373</c:v>
                </c:pt>
                <c:pt idx="274">
                  <c:v>0.27472527472527475</c:v>
                </c:pt>
                <c:pt idx="275">
                  <c:v>0.27572427572427571</c:v>
                </c:pt>
                <c:pt idx="276">
                  <c:v>0.27672327672327673</c:v>
                </c:pt>
                <c:pt idx="277">
                  <c:v>0.2777222777222777</c:v>
                </c:pt>
                <c:pt idx="278">
                  <c:v>0.27872127872127872</c:v>
                </c:pt>
                <c:pt idx="279">
                  <c:v>0.27972027972027974</c:v>
                </c:pt>
                <c:pt idx="280">
                  <c:v>0.28071928071928071</c:v>
                </c:pt>
                <c:pt idx="281">
                  <c:v>0.28171828171828173</c:v>
                </c:pt>
                <c:pt idx="282">
                  <c:v>0.28271728271728269</c:v>
                </c:pt>
                <c:pt idx="283">
                  <c:v>0.28371628371628371</c:v>
                </c:pt>
                <c:pt idx="284">
                  <c:v>0.28471528471528473</c:v>
                </c:pt>
                <c:pt idx="285">
                  <c:v>0.2857142857142857</c:v>
                </c:pt>
                <c:pt idx="286">
                  <c:v>0.28671328671328672</c:v>
                </c:pt>
                <c:pt idx="287">
                  <c:v>0.28771228771228774</c:v>
                </c:pt>
                <c:pt idx="288">
                  <c:v>0.2887112887112887</c:v>
                </c:pt>
                <c:pt idx="289">
                  <c:v>0.28971028971028973</c:v>
                </c:pt>
                <c:pt idx="290">
                  <c:v>0.29070929070929069</c:v>
                </c:pt>
                <c:pt idx="291">
                  <c:v>0.29170829170829171</c:v>
                </c:pt>
                <c:pt idx="292">
                  <c:v>0.29270729270729273</c:v>
                </c:pt>
                <c:pt idx="293">
                  <c:v>0.2937062937062937</c:v>
                </c:pt>
                <c:pt idx="294">
                  <c:v>0.29470529470529472</c:v>
                </c:pt>
                <c:pt idx="295">
                  <c:v>0.29570429570429568</c:v>
                </c:pt>
                <c:pt idx="296">
                  <c:v>0.2967032967032967</c:v>
                </c:pt>
                <c:pt idx="297">
                  <c:v>0.29770229770229772</c:v>
                </c:pt>
                <c:pt idx="298">
                  <c:v>0.29870129870129869</c:v>
                </c:pt>
                <c:pt idx="299">
                  <c:v>0.29970029970029971</c:v>
                </c:pt>
                <c:pt idx="300">
                  <c:v>0.30069930069930068</c:v>
                </c:pt>
                <c:pt idx="301">
                  <c:v>0.3016983016983017</c:v>
                </c:pt>
                <c:pt idx="302">
                  <c:v>0.30269730269730272</c:v>
                </c:pt>
                <c:pt idx="303">
                  <c:v>0.30369630369630368</c:v>
                </c:pt>
                <c:pt idx="304">
                  <c:v>0.3046953046953047</c:v>
                </c:pt>
                <c:pt idx="305">
                  <c:v>0.30569430569430567</c:v>
                </c:pt>
                <c:pt idx="306">
                  <c:v>0.30669330669330669</c:v>
                </c:pt>
                <c:pt idx="307">
                  <c:v>0.30769230769230771</c:v>
                </c:pt>
                <c:pt idx="308">
                  <c:v>0.30869130869130867</c:v>
                </c:pt>
                <c:pt idx="309">
                  <c:v>0.3096903096903097</c:v>
                </c:pt>
                <c:pt idx="310">
                  <c:v>0.31068931068931072</c:v>
                </c:pt>
                <c:pt idx="311">
                  <c:v>0.31168831168831168</c:v>
                </c:pt>
                <c:pt idx="312">
                  <c:v>0.3126873126873127</c:v>
                </c:pt>
                <c:pt idx="313">
                  <c:v>0.31368631368631367</c:v>
                </c:pt>
                <c:pt idx="314">
                  <c:v>0.31468531468531469</c:v>
                </c:pt>
                <c:pt idx="315">
                  <c:v>0.31568431568431571</c:v>
                </c:pt>
                <c:pt idx="316">
                  <c:v>0.31668331668331667</c:v>
                </c:pt>
                <c:pt idx="317">
                  <c:v>0.31768231768231769</c:v>
                </c:pt>
                <c:pt idx="318">
                  <c:v>0.31868131868131866</c:v>
                </c:pt>
                <c:pt idx="319">
                  <c:v>0.31968031968031968</c:v>
                </c:pt>
                <c:pt idx="320">
                  <c:v>0.3206793206793207</c:v>
                </c:pt>
                <c:pt idx="321">
                  <c:v>0.32167832167832167</c:v>
                </c:pt>
                <c:pt idx="322">
                  <c:v>0.32267732267732269</c:v>
                </c:pt>
                <c:pt idx="323">
                  <c:v>0.32367632367632365</c:v>
                </c:pt>
                <c:pt idx="324">
                  <c:v>0.32467532467532467</c:v>
                </c:pt>
                <c:pt idx="325">
                  <c:v>0.32567432567432569</c:v>
                </c:pt>
                <c:pt idx="326">
                  <c:v>0.32667332667332666</c:v>
                </c:pt>
                <c:pt idx="327">
                  <c:v>0.32767232767232768</c:v>
                </c:pt>
                <c:pt idx="328">
                  <c:v>0.32867132867132864</c:v>
                </c:pt>
                <c:pt idx="329">
                  <c:v>0.32967032967032966</c:v>
                </c:pt>
                <c:pt idx="330">
                  <c:v>0.33066933066933069</c:v>
                </c:pt>
                <c:pt idx="331">
                  <c:v>0.33166833166833165</c:v>
                </c:pt>
                <c:pt idx="332">
                  <c:v>0.33266733266733267</c:v>
                </c:pt>
                <c:pt idx="333">
                  <c:v>0.33366633366633369</c:v>
                </c:pt>
                <c:pt idx="334">
                  <c:v>0.33466533466533466</c:v>
                </c:pt>
                <c:pt idx="335">
                  <c:v>0.33566433566433568</c:v>
                </c:pt>
                <c:pt idx="336">
                  <c:v>0.33666333666333664</c:v>
                </c:pt>
                <c:pt idx="337">
                  <c:v>0.33766233766233766</c:v>
                </c:pt>
                <c:pt idx="338">
                  <c:v>0.33866133866133868</c:v>
                </c:pt>
                <c:pt idx="339">
                  <c:v>0.33966033966033965</c:v>
                </c:pt>
                <c:pt idx="340">
                  <c:v>0.34065934065934067</c:v>
                </c:pt>
                <c:pt idx="341">
                  <c:v>0.34165834165834164</c:v>
                </c:pt>
                <c:pt idx="342">
                  <c:v>0.34265734265734266</c:v>
                </c:pt>
                <c:pt idx="343">
                  <c:v>0.34365634365634368</c:v>
                </c:pt>
                <c:pt idx="344">
                  <c:v>0.34465534465534464</c:v>
                </c:pt>
                <c:pt idx="345">
                  <c:v>0.34565434565434566</c:v>
                </c:pt>
                <c:pt idx="346">
                  <c:v>0.34665334665334663</c:v>
                </c:pt>
                <c:pt idx="347">
                  <c:v>0.34765234765234765</c:v>
                </c:pt>
                <c:pt idx="348">
                  <c:v>0.34865134865134867</c:v>
                </c:pt>
                <c:pt idx="349">
                  <c:v>0.34965034965034963</c:v>
                </c:pt>
                <c:pt idx="350">
                  <c:v>0.35064935064935066</c:v>
                </c:pt>
                <c:pt idx="351">
                  <c:v>0.35164835164835168</c:v>
                </c:pt>
                <c:pt idx="352">
                  <c:v>0.35264735264735264</c:v>
                </c:pt>
                <c:pt idx="353">
                  <c:v>0.35364635364635366</c:v>
                </c:pt>
                <c:pt idx="354">
                  <c:v>0.35464535464535463</c:v>
                </c:pt>
                <c:pt idx="355">
                  <c:v>0.35564435564435565</c:v>
                </c:pt>
                <c:pt idx="356">
                  <c:v>0.35664335664335667</c:v>
                </c:pt>
                <c:pt idx="357">
                  <c:v>0.35764235764235763</c:v>
                </c:pt>
                <c:pt idx="358">
                  <c:v>0.35864135864135865</c:v>
                </c:pt>
                <c:pt idx="359">
                  <c:v>0.35964035964035962</c:v>
                </c:pt>
                <c:pt idx="360">
                  <c:v>0.36063936063936064</c:v>
                </c:pt>
                <c:pt idx="361">
                  <c:v>0.36163836163836166</c:v>
                </c:pt>
                <c:pt idx="362">
                  <c:v>0.36263736263736263</c:v>
                </c:pt>
                <c:pt idx="363">
                  <c:v>0.36363636363636365</c:v>
                </c:pt>
                <c:pt idx="364">
                  <c:v>0.36463536463536461</c:v>
                </c:pt>
                <c:pt idx="365">
                  <c:v>0.36563436563436563</c:v>
                </c:pt>
                <c:pt idx="366">
                  <c:v>0.36663336663336665</c:v>
                </c:pt>
                <c:pt idx="367">
                  <c:v>0.36763236763236762</c:v>
                </c:pt>
                <c:pt idx="368">
                  <c:v>0.36863136863136864</c:v>
                </c:pt>
                <c:pt idx="369">
                  <c:v>0.3696303696303696</c:v>
                </c:pt>
                <c:pt idx="370">
                  <c:v>0.37062937062937062</c:v>
                </c:pt>
                <c:pt idx="371">
                  <c:v>0.37162837162837165</c:v>
                </c:pt>
                <c:pt idx="372">
                  <c:v>0.37262737262737261</c:v>
                </c:pt>
                <c:pt idx="373">
                  <c:v>0.37362637362637363</c:v>
                </c:pt>
                <c:pt idx="374">
                  <c:v>0.37462537462537465</c:v>
                </c:pt>
                <c:pt idx="375">
                  <c:v>0.37562437562437562</c:v>
                </c:pt>
                <c:pt idx="376">
                  <c:v>0.37662337662337664</c:v>
                </c:pt>
                <c:pt idx="377">
                  <c:v>0.3776223776223776</c:v>
                </c:pt>
                <c:pt idx="378">
                  <c:v>0.37862137862137862</c:v>
                </c:pt>
                <c:pt idx="379">
                  <c:v>0.37962037962037964</c:v>
                </c:pt>
                <c:pt idx="380">
                  <c:v>0.38061938061938061</c:v>
                </c:pt>
                <c:pt idx="381">
                  <c:v>0.38161838161838163</c:v>
                </c:pt>
                <c:pt idx="382">
                  <c:v>0.3826173826173826</c:v>
                </c:pt>
                <c:pt idx="383">
                  <c:v>0.38361638361638362</c:v>
                </c:pt>
                <c:pt idx="384">
                  <c:v>0.38461538461538464</c:v>
                </c:pt>
                <c:pt idx="385">
                  <c:v>0.3856143856143856</c:v>
                </c:pt>
                <c:pt idx="386">
                  <c:v>0.38661338661338662</c:v>
                </c:pt>
                <c:pt idx="387">
                  <c:v>0.38761238761238759</c:v>
                </c:pt>
                <c:pt idx="388">
                  <c:v>0.38861138861138861</c:v>
                </c:pt>
                <c:pt idx="389">
                  <c:v>0.38961038961038963</c:v>
                </c:pt>
                <c:pt idx="390">
                  <c:v>0.39060939060939059</c:v>
                </c:pt>
                <c:pt idx="391">
                  <c:v>0.39160839160839161</c:v>
                </c:pt>
                <c:pt idx="392">
                  <c:v>0.39260739260739258</c:v>
                </c:pt>
                <c:pt idx="393">
                  <c:v>0.3936063936063936</c:v>
                </c:pt>
                <c:pt idx="394">
                  <c:v>0.39460539460539462</c:v>
                </c:pt>
                <c:pt idx="395">
                  <c:v>0.39560439560439559</c:v>
                </c:pt>
                <c:pt idx="396">
                  <c:v>0.39660339660339661</c:v>
                </c:pt>
                <c:pt idx="397">
                  <c:v>0.39760239760239763</c:v>
                </c:pt>
                <c:pt idx="398">
                  <c:v>0.39860139860139859</c:v>
                </c:pt>
                <c:pt idx="399">
                  <c:v>0.39960039960039961</c:v>
                </c:pt>
                <c:pt idx="400">
                  <c:v>0.40059940059940058</c:v>
                </c:pt>
                <c:pt idx="401">
                  <c:v>0.4015984015984016</c:v>
                </c:pt>
                <c:pt idx="402">
                  <c:v>0.40259740259740262</c:v>
                </c:pt>
                <c:pt idx="403">
                  <c:v>0.40359640359640359</c:v>
                </c:pt>
                <c:pt idx="404">
                  <c:v>0.40459540459540461</c:v>
                </c:pt>
                <c:pt idx="405">
                  <c:v>0.40559440559440557</c:v>
                </c:pt>
                <c:pt idx="406">
                  <c:v>0.40659340659340659</c:v>
                </c:pt>
                <c:pt idx="407">
                  <c:v>0.40759240759240761</c:v>
                </c:pt>
                <c:pt idx="408">
                  <c:v>0.40859140859140858</c:v>
                </c:pt>
                <c:pt idx="409">
                  <c:v>0.4095904095904096</c:v>
                </c:pt>
                <c:pt idx="410">
                  <c:v>0.41058941058941056</c:v>
                </c:pt>
                <c:pt idx="411">
                  <c:v>0.41158841158841158</c:v>
                </c:pt>
                <c:pt idx="412">
                  <c:v>0.41258741258741261</c:v>
                </c:pt>
                <c:pt idx="413">
                  <c:v>0.41358641358641357</c:v>
                </c:pt>
                <c:pt idx="414">
                  <c:v>0.41458541458541459</c:v>
                </c:pt>
                <c:pt idx="415">
                  <c:v>0.41558441558441561</c:v>
                </c:pt>
                <c:pt idx="416">
                  <c:v>0.41658341658341658</c:v>
                </c:pt>
                <c:pt idx="417">
                  <c:v>0.4175824175824176</c:v>
                </c:pt>
                <c:pt idx="418">
                  <c:v>0.41858141858141856</c:v>
                </c:pt>
                <c:pt idx="419">
                  <c:v>0.41958041958041958</c:v>
                </c:pt>
                <c:pt idx="420">
                  <c:v>0.4205794205794206</c:v>
                </c:pt>
                <c:pt idx="421">
                  <c:v>0.42157842157842157</c:v>
                </c:pt>
                <c:pt idx="422">
                  <c:v>0.42257742257742259</c:v>
                </c:pt>
                <c:pt idx="423">
                  <c:v>0.42357642357642356</c:v>
                </c:pt>
                <c:pt idx="424">
                  <c:v>0.42457542457542458</c:v>
                </c:pt>
                <c:pt idx="425">
                  <c:v>0.4255744255744256</c:v>
                </c:pt>
                <c:pt idx="426">
                  <c:v>0.42657342657342656</c:v>
                </c:pt>
                <c:pt idx="427">
                  <c:v>0.42757242757242758</c:v>
                </c:pt>
                <c:pt idx="428">
                  <c:v>0.42857142857142855</c:v>
                </c:pt>
                <c:pt idx="429">
                  <c:v>0.42957042957042957</c:v>
                </c:pt>
                <c:pt idx="430">
                  <c:v>0.43056943056943059</c:v>
                </c:pt>
                <c:pt idx="431">
                  <c:v>0.43156843156843155</c:v>
                </c:pt>
                <c:pt idx="432">
                  <c:v>0.43256743256743257</c:v>
                </c:pt>
                <c:pt idx="433">
                  <c:v>0.43356643356643354</c:v>
                </c:pt>
                <c:pt idx="434">
                  <c:v>0.43456543456543456</c:v>
                </c:pt>
                <c:pt idx="435">
                  <c:v>0.43556443556443558</c:v>
                </c:pt>
                <c:pt idx="436">
                  <c:v>0.43656343656343655</c:v>
                </c:pt>
                <c:pt idx="437">
                  <c:v>0.43756243756243757</c:v>
                </c:pt>
                <c:pt idx="438">
                  <c:v>0.43856143856143859</c:v>
                </c:pt>
                <c:pt idx="439">
                  <c:v>0.43956043956043955</c:v>
                </c:pt>
                <c:pt idx="440">
                  <c:v>0.44055944055944057</c:v>
                </c:pt>
                <c:pt idx="441">
                  <c:v>0.44155844155844154</c:v>
                </c:pt>
                <c:pt idx="442">
                  <c:v>0.44255744255744256</c:v>
                </c:pt>
                <c:pt idx="443">
                  <c:v>0.44355644355644358</c:v>
                </c:pt>
                <c:pt idx="444">
                  <c:v>0.44455544455544455</c:v>
                </c:pt>
                <c:pt idx="445">
                  <c:v>0.44555444555444557</c:v>
                </c:pt>
                <c:pt idx="446">
                  <c:v>0.44655344655344653</c:v>
                </c:pt>
                <c:pt idx="447">
                  <c:v>0.44755244755244755</c:v>
                </c:pt>
                <c:pt idx="448">
                  <c:v>0.44855144855144857</c:v>
                </c:pt>
                <c:pt idx="449">
                  <c:v>0.44955044955044954</c:v>
                </c:pt>
                <c:pt idx="450">
                  <c:v>0.45054945054945056</c:v>
                </c:pt>
                <c:pt idx="451">
                  <c:v>0.45154845154845152</c:v>
                </c:pt>
                <c:pt idx="452">
                  <c:v>0.45254745254745254</c:v>
                </c:pt>
                <c:pt idx="453">
                  <c:v>0.45354645354645357</c:v>
                </c:pt>
                <c:pt idx="454">
                  <c:v>0.45454545454545453</c:v>
                </c:pt>
                <c:pt idx="455">
                  <c:v>0.45554445554445555</c:v>
                </c:pt>
                <c:pt idx="456">
                  <c:v>0.45654345654345652</c:v>
                </c:pt>
                <c:pt idx="457">
                  <c:v>0.45754245754245754</c:v>
                </c:pt>
                <c:pt idx="458">
                  <c:v>0.45854145854145856</c:v>
                </c:pt>
                <c:pt idx="459">
                  <c:v>0.45954045954045952</c:v>
                </c:pt>
                <c:pt idx="460">
                  <c:v>0.46053946053946054</c:v>
                </c:pt>
                <c:pt idx="461">
                  <c:v>0.46153846153846156</c:v>
                </c:pt>
                <c:pt idx="462">
                  <c:v>0.46253746253746253</c:v>
                </c:pt>
                <c:pt idx="463">
                  <c:v>0.46353646353646355</c:v>
                </c:pt>
                <c:pt idx="464">
                  <c:v>0.46453546453546452</c:v>
                </c:pt>
                <c:pt idx="465">
                  <c:v>0.46553446553446554</c:v>
                </c:pt>
                <c:pt idx="466">
                  <c:v>0.46653346653346656</c:v>
                </c:pt>
                <c:pt idx="467">
                  <c:v>0.46753246753246752</c:v>
                </c:pt>
                <c:pt idx="468">
                  <c:v>0.46853146853146854</c:v>
                </c:pt>
                <c:pt idx="469">
                  <c:v>0.46953046953046951</c:v>
                </c:pt>
                <c:pt idx="470">
                  <c:v>0.47052947052947053</c:v>
                </c:pt>
                <c:pt idx="471">
                  <c:v>0.47152847152847155</c:v>
                </c:pt>
                <c:pt idx="472">
                  <c:v>0.47252747252747251</c:v>
                </c:pt>
                <c:pt idx="473">
                  <c:v>0.47352647352647353</c:v>
                </c:pt>
                <c:pt idx="474">
                  <c:v>0.4745254745254745</c:v>
                </c:pt>
                <c:pt idx="475">
                  <c:v>0.47552447552447552</c:v>
                </c:pt>
                <c:pt idx="476">
                  <c:v>0.47652347652347654</c:v>
                </c:pt>
                <c:pt idx="477">
                  <c:v>0.47752247752247751</c:v>
                </c:pt>
                <c:pt idx="478">
                  <c:v>0.47852147852147853</c:v>
                </c:pt>
                <c:pt idx="479">
                  <c:v>0.47952047952047955</c:v>
                </c:pt>
                <c:pt idx="480">
                  <c:v>0.48051948051948051</c:v>
                </c:pt>
                <c:pt idx="481">
                  <c:v>0.48151848151848153</c:v>
                </c:pt>
                <c:pt idx="482">
                  <c:v>0.4825174825174825</c:v>
                </c:pt>
                <c:pt idx="483">
                  <c:v>0.48351648351648352</c:v>
                </c:pt>
                <c:pt idx="484">
                  <c:v>0.48451548451548454</c:v>
                </c:pt>
                <c:pt idx="485">
                  <c:v>0.48551448551448551</c:v>
                </c:pt>
                <c:pt idx="486">
                  <c:v>0.48651348651348653</c:v>
                </c:pt>
                <c:pt idx="487">
                  <c:v>0.48751248751248749</c:v>
                </c:pt>
                <c:pt idx="488">
                  <c:v>0.48851148851148851</c:v>
                </c:pt>
                <c:pt idx="489">
                  <c:v>0.48951048951048953</c:v>
                </c:pt>
                <c:pt idx="490">
                  <c:v>0.4905094905094905</c:v>
                </c:pt>
                <c:pt idx="491">
                  <c:v>0.49150849150849152</c:v>
                </c:pt>
                <c:pt idx="492">
                  <c:v>0.49250749250749248</c:v>
                </c:pt>
                <c:pt idx="493">
                  <c:v>0.4935064935064935</c:v>
                </c:pt>
                <c:pt idx="494">
                  <c:v>0.49450549450549453</c:v>
                </c:pt>
                <c:pt idx="495">
                  <c:v>0.49550449550449549</c:v>
                </c:pt>
                <c:pt idx="496">
                  <c:v>0.49650349650349651</c:v>
                </c:pt>
                <c:pt idx="497">
                  <c:v>0.49750249750249748</c:v>
                </c:pt>
                <c:pt idx="498">
                  <c:v>0.4985014985014985</c:v>
                </c:pt>
                <c:pt idx="499">
                  <c:v>0.49950049950049952</c:v>
                </c:pt>
                <c:pt idx="500">
                  <c:v>0.50049950049950054</c:v>
                </c:pt>
                <c:pt idx="501">
                  <c:v>0.5014985014985015</c:v>
                </c:pt>
                <c:pt idx="502">
                  <c:v>0.50249750249750247</c:v>
                </c:pt>
                <c:pt idx="503">
                  <c:v>0.50349650349650354</c:v>
                </c:pt>
                <c:pt idx="504">
                  <c:v>0.50449550449550451</c:v>
                </c:pt>
                <c:pt idx="505">
                  <c:v>0.50549450549450547</c:v>
                </c:pt>
                <c:pt idx="506">
                  <c:v>0.50649350649350644</c:v>
                </c:pt>
                <c:pt idx="507">
                  <c:v>0.50749250749250752</c:v>
                </c:pt>
                <c:pt idx="508">
                  <c:v>0.50849150849150848</c:v>
                </c:pt>
                <c:pt idx="509">
                  <c:v>0.50949050949050945</c:v>
                </c:pt>
                <c:pt idx="510">
                  <c:v>0.51048951048951052</c:v>
                </c:pt>
                <c:pt idx="511">
                  <c:v>0.51148851148851149</c:v>
                </c:pt>
                <c:pt idx="512">
                  <c:v>0.51248751248751245</c:v>
                </c:pt>
                <c:pt idx="513">
                  <c:v>0.51348651348651353</c:v>
                </c:pt>
                <c:pt idx="514">
                  <c:v>0.51448551448551449</c:v>
                </c:pt>
                <c:pt idx="515">
                  <c:v>0.51548451548451546</c:v>
                </c:pt>
                <c:pt idx="516">
                  <c:v>0.51648351648351654</c:v>
                </c:pt>
                <c:pt idx="517">
                  <c:v>0.5174825174825175</c:v>
                </c:pt>
                <c:pt idx="518">
                  <c:v>0.51848151848151847</c:v>
                </c:pt>
                <c:pt idx="519">
                  <c:v>0.51948051948051943</c:v>
                </c:pt>
                <c:pt idx="520">
                  <c:v>0.52047952047952051</c:v>
                </c:pt>
                <c:pt idx="521">
                  <c:v>0.52147852147852147</c:v>
                </c:pt>
                <c:pt idx="522">
                  <c:v>0.52247752247752244</c:v>
                </c:pt>
                <c:pt idx="523">
                  <c:v>0.52347652347652351</c:v>
                </c:pt>
                <c:pt idx="524">
                  <c:v>0.52447552447552448</c:v>
                </c:pt>
                <c:pt idx="525">
                  <c:v>0.52547452547452544</c:v>
                </c:pt>
                <c:pt idx="526">
                  <c:v>0.52647352647352652</c:v>
                </c:pt>
                <c:pt idx="527">
                  <c:v>0.52747252747252749</c:v>
                </c:pt>
                <c:pt idx="528">
                  <c:v>0.52847152847152845</c:v>
                </c:pt>
                <c:pt idx="529">
                  <c:v>0.52947052947052942</c:v>
                </c:pt>
                <c:pt idx="530">
                  <c:v>0.53046953046953049</c:v>
                </c:pt>
                <c:pt idx="531">
                  <c:v>0.53146853146853146</c:v>
                </c:pt>
                <c:pt idx="532">
                  <c:v>0.53246753246753242</c:v>
                </c:pt>
                <c:pt idx="533">
                  <c:v>0.5334665334665335</c:v>
                </c:pt>
                <c:pt idx="534">
                  <c:v>0.53446553446553446</c:v>
                </c:pt>
                <c:pt idx="535">
                  <c:v>0.53546453546453543</c:v>
                </c:pt>
                <c:pt idx="536">
                  <c:v>0.53646353646353651</c:v>
                </c:pt>
                <c:pt idx="537">
                  <c:v>0.53746253746253747</c:v>
                </c:pt>
                <c:pt idx="538">
                  <c:v>0.53846153846153844</c:v>
                </c:pt>
                <c:pt idx="539">
                  <c:v>0.53946053946053951</c:v>
                </c:pt>
                <c:pt idx="540">
                  <c:v>0.54045954045954048</c:v>
                </c:pt>
                <c:pt idx="541">
                  <c:v>0.54145854145854144</c:v>
                </c:pt>
                <c:pt idx="542">
                  <c:v>0.54245754245754241</c:v>
                </c:pt>
                <c:pt idx="543">
                  <c:v>0.54345654345654348</c:v>
                </c:pt>
                <c:pt idx="544">
                  <c:v>0.54445554445554445</c:v>
                </c:pt>
                <c:pt idx="545">
                  <c:v>0.54545454545454541</c:v>
                </c:pt>
                <c:pt idx="546">
                  <c:v>0.54645354645354649</c:v>
                </c:pt>
                <c:pt idx="547">
                  <c:v>0.54745254745254746</c:v>
                </c:pt>
                <c:pt idx="548">
                  <c:v>0.54845154845154842</c:v>
                </c:pt>
                <c:pt idx="549">
                  <c:v>0.5494505494505495</c:v>
                </c:pt>
                <c:pt idx="550">
                  <c:v>0.55044955044955046</c:v>
                </c:pt>
                <c:pt idx="551">
                  <c:v>0.55144855144855143</c:v>
                </c:pt>
                <c:pt idx="552">
                  <c:v>0.55244755244755239</c:v>
                </c:pt>
                <c:pt idx="553">
                  <c:v>0.55344655344655347</c:v>
                </c:pt>
                <c:pt idx="554">
                  <c:v>0.55444555444555443</c:v>
                </c:pt>
                <c:pt idx="555">
                  <c:v>0.5554445554445554</c:v>
                </c:pt>
                <c:pt idx="556">
                  <c:v>0.55644355644355648</c:v>
                </c:pt>
                <c:pt idx="557">
                  <c:v>0.55744255744255744</c:v>
                </c:pt>
                <c:pt idx="558">
                  <c:v>0.55844155844155841</c:v>
                </c:pt>
                <c:pt idx="559">
                  <c:v>0.55944055944055948</c:v>
                </c:pt>
                <c:pt idx="560">
                  <c:v>0.56043956043956045</c:v>
                </c:pt>
                <c:pt idx="561">
                  <c:v>0.56143856143856141</c:v>
                </c:pt>
                <c:pt idx="562">
                  <c:v>0.56243756243756249</c:v>
                </c:pt>
                <c:pt idx="563">
                  <c:v>0.56343656343656345</c:v>
                </c:pt>
                <c:pt idx="564">
                  <c:v>0.56443556443556442</c:v>
                </c:pt>
                <c:pt idx="565">
                  <c:v>0.56543456543456538</c:v>
                </c:pt>
                <c:pt idx="566">
                  <c:v>0.56643356643356646</c:v>
                </c:pt>
                <c:pt idx="567">
                  <c:v>0.56743256743256743</c:v>
                </c:pt>
                <c:pt idx="568">
                  <c:v>0.56843156843156839</c:v>
                </c:pt>
                <c:pt idx="569">
                  <c:v>0.56943056943056947</c:v>
                </c:pt>
                <c:pt idx="570">
                  <c:v>0.57042957042957043</c:v>
                </c:pt>
                <c:pt idx="571">
                  <c:v>0.5714285714285714</c:v>
                </c:pt>
                <c:pt idx="572">
                  <c:v>0.57242757242757247</c:v>
                </c:pt>
                <c:pt idx="573">
                  <c:v>0.57342657342657344</c:v>
                </c:pt>
                <c:pt idx="574">
                  <c:v>0.5744255744255744</c:v>
                </c:pt>
                <c:pt idx="575">
                  <c:v>0.57542457542457548</c:v>
                </c:pt>
                <c:pt idx="576">
                  <c:v>0.57642357642357644</c:v>
                </c:pt>
                <c:pt idx="577">
                  <c:v>0.57742257742257741</c:v>
                </c:pt>
                <c:pt idx="578">
                  <c:v>0.57842157842157838</c:v>
                </c:pt>
                <c:pt idx="579">
                  <c:v>0.57942057942057945</c:v>
                </c:pt>
                <c:pt idx="580">
                  <c:v>0.58041958041958042</c:v>
                </c:pt>
                <c:pt idx="581">
                  <c:v>0.58141858141858138</c:v>
                </c:pt>
                <c:pt idx="582">
                  <c:v>0.58241758241758246</c:v>
                </c:pt>
                <c:pt idx="583">
                  <c:v>0.58341658341658342</c:v>
                </c:pt>
                <c:pt idx="584">
                  <c:v>0.58441558441558439</c:v>
                </c:pt>
                <c:pt idx="585">
                  <c:v>0.58541458541458546</c:v>
                </c:pt>
                <c:pt idx="586">
                  <c:v>0.58641358641358643</c:v>
                </c:pt>
                <c:pt idx="587">
                  <c:v>0.58741258741258739</c:v>
                </c:pt>
                <c:pt idx="588">
                  <c:v>0.58841158841158836</c:v>
                </c:pt>
                <c:pt idx="589">
                  <c:v>0.58941058941058944</c:v>
                </c:pt>
                <c:pt idx="590">
                  <c:v>0.5904095904095904</c:v>
                </c:pt>
                <c:pt idx="591">
                  <c:v>0.59140859140859137</c:v>
                </c:pt>
                <c:pt idx="592">
                  <c:v>0.59240759240759244</c:v>
                </c:pt>
                <c:pt idx="593">
                  <c:v>0.59340659340659341</c:v>
                </c:pt>
                <c:pt idx="594">
                  <c:v>0.59440559440559437</c:v>
                </c:pt>
                <c:pt idx="595">
                  <c:v>0.59540459540459545</c:v>
                </c:pt>
                <c:pt idx="596">
                  <c:v>0.59640359640359641</c:v>
                </c:pt>
                <c:pt idx="597">
                  <c:v>0.59740259740259738</c:v>
                </c:pt>
                <c:pt idx="598">
                  <c:v>0.59840159840159846</c:v>
                </c:pt>
                <c:pt idx="599">
                  <c:v>0.59940059940059942</c:v>
                </c:pt>
                <c:pt idx="600">
                  <c:v>0.60039960039960039</c:v>
                </c:pt>
                <c:pt idx="601">
                  <c:v>0.60139860139860135</c:v>
                </c:pt>
                <c:pt idx="602">
                  <c:v>0.60239760239760243</c:v>
                </c:pt>
                <c:pt idx="603">
                  <c:v>0.60339660339660339</c:v>
                </c:pt>
                <c:pt idx="604">
                  <c:v>0.60439560439560436</c:v>
                </c:pt>
                <c:pt idx="605">
                  <c:v>0.60539460539460543</c:v>
                </c:pt>
                <c:pt idx="606">
                  <c:v>0.6063936063936064</c:v>
                </c:pt>
                <c:pt idx="607">
                  <c:v>0.60739260739260736</c:v>
                </c:pt>
                <c:pt idx="608">
                  <c:v>0.60839160839160844</c:v>
                </c:pt>
                <c:pt idx="609">
                  <c:v>0.60939060939060941</c:v>
                </c:pt>
                <c:pt idx="610">
                  <c:v>0.61038961038961037</c:v>
                </c:pt>
                <c:pt idx="611">
                  <c:v>0.61138861138861134</c:v>
                </c:pt>
                <c:pt idx="612">
                  <c:v>0.61238761238761241</c:v>
                </c:pt>
                <c:pt idx="613">
                  <c:v>0.61338661338661338</c:v>
                </c:pt>
                <c:pt idx="614">
                  <c:v>0.61438561438561434</c:v>
                </c:pt>
                <c:pt idx="615">
                  <c:v>0.61538461538461542</c:v>
                </c:pt>
                <c:pt idx="616">
                  <c:v>0.61638361638361638</c:v>
                </c:pt>
                <c:pt idx="617">
                  <c:v>0.61738261738261735</c:v>
                </c:pt>
                <c:pt idx="618">
                  <c:v>0.61838161838161843</c:v>
                </c:pt>
                <c:pt idx="619">
                  <c:v>0.61938061938061939</c:v>
                </c:pt>
                <c:pt idx="620">
                  <c:v>0.62037962037962036</c:v>
                </c:pt>
                <c:pt idx="621">
                  <c:v>0.62137862137862143</c:v>
                </c:pt>
                <c:pt idx="622">
                  <c:v>0.6223776223776224</c:v>
                </c:pt>
                <c:pt idx="623">
                  <c:v>0.62337662337662336</c:v>
                </c:pt>
                <c:pt idx="624">
                  <c:v>0.62437562437562433</c:v>
                </c:pt>
                <c:pt idx="625">
                  <c:v>0.6253746253746254</c:v>
                </c:pt>
                <c:pt idx="626">
                  <c:v>0.62637362637362637</c:v>
                </c:pt>
                <c:pt idx="627">
                  <c:v>0.62737262737262733</c:v>
                </c:pt>
                <c:pt idx="628">
                  <c:v>0.62837162837162841</c:v>
                </c:pt>
                <c:pt idx="629">
                  <c:v>0.62937062937062938</c:v>
                </c:pt>
                <c:pt idx="630">
                  <c:v>0.63036963036963034</c:v>
                </c:pt>
                <c:pt idx="631">
                  <c:v>0.63136863136863142</c:v>
                </c:pt>
                <c:pt idx="632">
                  <c:v>0.63236763236763238</c:v>
                </c:pt>
                <c:pt idx="633">
                  <c:v>0.63336663336663335</c:v>
                </c:pt>
                <c:pt idx="634">
                  <c:v>0.63436563436563431</c:v>
                </c:pt>
                <c:pt idx="635">
                  <c:v>0.63536463536463539</c:v>
                </c:pt>
                <c:pt idx="636">
                  <c:v>0.63636363636363635</c:v>
                </c:pt>
                <c:pt idx="637">
                  <c:v>0.63736263736263732</c:v>
                </c:pt>
                <c:pt idx="638">
                  <c:v>0.63836163836163839</c:v>
                </c:pt>
                <c:pt idx="639">
                  <c:v>0.63936063936063936</c:v>
                </c:pt>
                <c:pt idx="640">
                  <c:v>0.64035964035964033</c:v>
                </c:pt>
                <c:pt idx="641">
                  <c:v>0.6413586413586414</c:v>
                </c:pt>
                <c:pt idx="642">
                  <c:v>0.64235764235764237</c:v>
                </c:pt>
                <c:pt idx="643">
                  <c:v>0.64335664335664333</c:v>
                </c:pt>
                <c:pt idx="644">
                  <c:v>0.64435564435564441</c:v>
                </c:pt>
                <c:pt idx="645">
                  <c:v>0.64535464535464537</c:v>
                </c:pt>
                <c:pt idx="646">
                  <c:v>0.64635364635364634</c:v>
                </c:pt>
                <c:pt idx="647">
                  <c:v>0.6473526473526473</c:v>
                </c:pt>
                <c:pt idx="648">
                  <c:v>0.64835164835164838</c:v>
                </c:pt>
                <c:pt idx="649">
                  <c:v>0.64935064935064934</c:v>
                </c:pt>
                <c:pt idx="650">
                  <c:v>0.65034965034965031</c:v>
                </c:pt>
                <c:pt idx="651">
                  <c:v>0.65134865134865139</c:v>
                </c:pt>
                <c:pt idx="652">
                  <c:v>0.65234765234765235</c:v>
                </c:pt>
                <c:pt idx="653">
                  <c:v>0.65334665334665332</c:v>
                </c:pt>
                <c:pt idx="654">
                  <c:v>0.65434565434565439</c:v>
                </c:pt>
                <c:pt idx="655">
                  <c:v>0.65534465534465536</c:v>
                </c:pt>
                <c:pt idx="656">
                  <c:v>0.65634365634365632</c:v>
                </c:pt>
                <c:pt idx="657">
                  <c:v>0.65734265734265729</c:v>
                </c:pt>
                <c:pt idx="658">
                  <c:v>0.65834165834165836</c:v>
                </c:pt>
                <c:pt idx="659">
                  <c:v>0.65934065934065933</c:v>
                </c:pt>
                <c:pt idx="660">
                  <c:v>0.66033966033966029</c:v>
                </c:pt>
                <c:pt idx="661">
                  <c:v>0.66133866133866137</c:v>
                </c:pt>
                <c:pt idx="662">
                  <c:v>0.66233766233766234</c:v>
                </c:pt>
                <c:pt idx="663">
                  <c:v>0.6633366633366633</c:v>
                </c:pt>
                <c:pt idx="664">
                  <c:v>0.66433566433566438</c:v>
                </c:pt>
                <c:pt idx="665">
                  <c:v>0.66533466533466534</c:v>
                </c:pt>
                <c:pt idx="666">
                  <c:v>0.66633366633366631</c:v>
                </c:pt>
                <c:pt idx="667">
                  <c:v>0.66733266733266738</c:v>
                </c:pt>
                <c:pt idx="668">
                  <c:v>0.66833166833166835</c:v>
                </c:pt>
                <c:pt idx="669">
                  <c:v>0.66933066933066931</c:v>
                </c:pt>
                <c:pt idx="670">
                  <c:v>0.67032967032967028</c:v>
                </c:pt>
                <c:pt idx="671">
                  <c:v>0.67132867132867136</c:v>
                </c:pt>
                <c:pt idx="672">
                  <c:v>0.67232767232767232</c:v>
                </c:pt>
                <c:pt idx="673">
                  <c:v>0.67332667332667329</c:v>
                </c:pt>
                <c:pt idx="674">
                  <c:v>0.67432567432567436</c:v>
                </c:pt>
                <c:pt idx="675">
                  <c:v>0.67532467532467533</c:v>
                </c:pt>
                <c:pt idx="676">
                  <c:v>0.67632367632367629</c:v>
                </c:pt>
                <c:pt idx="677">
                  <c:v>0.67732267732267737</c:v>
                </c:pt>
                <c:pt idx="678">
                  <c:v>0.67832167832167833</c:v>
                </c:pt>
                <c:pt idx="679">
                  <c:v>0.6793206793206793</c:v>
                </c:pt>
                <c:pt idx="680">
                  <c:v>0.68031968031968026</c:v>
                </c:pt>
                <c:pt idx="681">
                  <c:v>0.68131868131868134</c:v>
                </c:pt>
                <c:pt idx="682">
                  <c:v>0.68231768231768231</c:v>
                </c:pt>
                <c:pt idx="683">
                  <c:v>0.68331668331668327</c:v>
                </c:pt>
                <c:pt idx="684">
                  <c:v>0.68431568431568435</c:v>
                </c:pt>
                <c:pt idx="685">
                  <c:v>0.68531468531468531</c:v>
                </c:pt>
                <c:pt idx="686">
                  <c:v>0.68631368631368628</c:v>
                </c:pt>
                <c:pt idx="687">
                  <c:v>0.68731268731268735</c:v>
                </c:pt>
                <c:pt idx="688">
                  <c:v>0.68831168831168832</c:v>
                </c:pt>
                <c:pt idx="689">
                  <c:v>0.68931068931068928</c:v>
                </c:pt>
                <c:pt idx="690">
                  <c:v>0.69030969030969036</c:v>
                </c:pt>
                <c:pt idx="691">
                  <c:v>0.69130869130869133</c:v>
                </c:pt>
                <c:pt idx="692">
                  <c:v>0.69230769230769229</c:v>
                </c:pt>
                <c:pt idx="693">
                  <c:v>0.69330669330669326</c:v>
                </c:pt>
                <c:pt idx="694">
                  <c:v>0.69430569430569433</c:v>
                </c:pt>
                <c:pt idx="695">
                  <c:v>0.6953046953046953</c:v>
                </c:pt>
                <c:pt idx="696">
                  <c:v>0.69630369630369626</c:v>
                </c:pt>
                <c:pt idx="697">
                  <c:v>0.69730269730269734</c:v>
                </c:pt>
                <c:pt idx="698">
                  <c:v>0.6983016983016983</c:v>
                </c:pt>
                <c:pt idx="699">
                  <c:v>0.69930069930069927</c:v>
                </c:pt>
                <c:pt idx="700">
                  <c:v>0.70029970029970035</c:v>
                </c:pt>
                <c:pt idx="701">
                  <c:v>0.70129870129870131</c:v>
                </c:pt>
                <c:pt idx="702">
                  <c:v>0.70229770229770228</c:v>
                </c:pt>
                <c:pt idx="703">
                  <c:v>0.70329670329670335</c:v>
                </c:pt>
                <c:pt idx="704">
                  <c:v>0.70429570429570432</c:v>
                </c:pt>
                <c:pt idx="705">
                  <c:v>0.70529470529470528</c:v>
                </c:pt>
                <c:pt idx="706">
                  <c:v>0.70629370629370625</c:v>
                </c:pt>
                <c:pt idx="707">
                  <c:v>0.70729270729270732</c:v>
                </c:pt>
                <c:pt idx="708">
                  <c:v>0.70829170829170829</c:v>
                </c:pt>
                <c:pt idx="709">
                  <c:v>0.70929070929070925</c:v>
                </c:pt>
                <c:pt idx="710">
                  <c:v>0.71028971028971033</c:v>
                </c:pt>
                <c:pt idx="711">
                  <c:v>0.7112887112887113</c:v>
                </c:pt>
                <c:pt idx="712">
                  <c:v>0.71228771228771226</c:v>
                </c:pt>
                <c:pt idx="713">
                  <c:v>0.71328671328671334</c:v>
                </c:pt>
                <c:pt idx="714">
                  <c:v>0.7142857142857143</c:v>
                </c:pt>
                <c:pt idx="715">
                  <c:v>0.71528471528471527</c:v>
                </c:pt>
                <c:pt idx="716">
                  <c:v>0.71628371628371623</c:v>
                </c:pt>
                <c:pt idx="717">
                  <c:v>0.71728271728271731</c:v>
                </c:pt>
                <c:pt idx="718">
                  <c:v>0.71828171828171827</c:v>
                </c:pt>
                <c:pt idx="719">
                  <c:v>0.71928071928071924</c:v>
                </c:pt>
                <c:pt idx="720">
                  <c:v>0.72027972027972031</c:v>
                </c:pt>
                <c:pt idx="721">
                  <c:v>0.72127872127872128</c:v>
                </c:pt>
                <c:pt idx="722">
                  <c:v>0.72227772227772225</c:v>
                </c:pt>
                <c:pt idx="723">
                  <c:v>0.72327672327672332</c:v>
                </c:pt>
                <c:pt idx="724">
                  <c:v>0.72427572427572429</c:v>
                </c:pt>
                <c:pt idx="725">
                  <c:v>0.72527472527472525</c:v>
                </c:pt>
                <c:pt idx="726">
                  <c:v>0.72627372627372633</c:v>
                </c:pt>
                <c:pt idx="727">
                  <c:v>0.72727272727272729</c:v>
                </c:pt>
                <c:pt idx="728">
                  <c:v>0.72827172827172826</c:v>
                </c:pt>
                <c:pt idx="729">
                  <c:v>0.72927072927072922</c:v>
                </c:pt>
                <c:pt idx="730">
                  <c:v>0.7302697302697303</c:v>
                </c:pt>
                <c:pt idx="731">
                  <c:v>0.73126873126873126</c:v>
                </c:pt>
                <c:pt idx="732">
                  <c:v>0.73226773226773223</c:v>
                </c:pt>
                <c:pt idx="733">
                  <c:v>0.73326673326673331</c:v>
                </c:pt>
                <c:pt idx="734">
                  <c:v>0.73426573426573427</c:v>
                </c:pt>
                <c:pt idx="735">
                  <c:v>0.73526473526473524</c:v>
                </c:pt>
                <c:pt idx="736">
                  <c:v>0.73626373626373631</c:v>
                </c:pt>
                <c:pt idx="737">
                  <c:v>0.73726273726273728</c:v>
                </c:pt>
                <c:pt idx="738">
                  <c:v>0.73826173826173824</c:v>
                </c:pt>
                <c:pt idx="739">
                  <c:v>0.73926073926073921</c:v>
                </c:pt>
                <c:pt idx="740">
                  <c:v>0.74025974025974028</c:v>
                </c:pt>
                <c:pt idx="741">
                  <c:v>0.74125874125874125</c:v>
                </c:pt>
                <c:pt idx="742">
                  <c:v>0.74225774225774221</c:v>
                </c:pt>
                <c:pt idx="743">
                  <c:v>0.74325674325674329</c:v>
                </c:pt>
                <c:pt idx="744">
                  <c:v>0.74425574425574426</c:v>
                </c:pt>
                <c:pt idx="745">
                  <c:v>0.74525474525474522</c:v>
                </c:pt>
                <c:pt idx="746">
                  <c:v>0.7462537462537463</c:v>
                </c:pt>
                <c:pt idx="747">
                  <c:v>0.74725274725274726</c:v>
                </c:pt>
                <c:pt idx="748">
                  <c:v>0.74825174825174823</c:v>
                </c:pt>
                <c:pt idx="749">
                  <c:v>0.7492507492507493</c:v>
                </c:pt>
                <c:pt idx="750">
                  <c:v>0.75024975024975027</c:v>
                </c:pt>
                <c:pt idx="751">
                  <c:v>0.75124875124875123</c:v>
                </c:pt>
                <c:pt idx="752">
                  <c:v>0.7522477522477522</c:v>
                </c:pt>
                <c:pt idx="753">
                  <c:v>0.75324675324675328</c:v>
                </c:pt>
                <c:pt idx="754">
                  <c:v>0.75424575424575424</c:v>
                </c:pt>
                <c:pt idx="755">
                  <c:v>0.75524475524475521</c:v>
                </c:pt>
                <c:pt idx="756">
                  <c:v>0.75624375624375628</c:v>
                </c:pt>
                <c:pt idx="757">
                  <c:v>0.75724275724275725</c:v>
                </c:pt>
                <c:pt idx="758">
                  <c:v>0.75824175824175821</c:v>
                </c:pt>
                <c:pt idx="759">
                  <c:v>0.75924075924075929</c:v>
                </c:pt>
                <c:pt idx="760">
                  <c:v>0.76023976023976025</c:v>
                </c:pt>
                <c:pt idx="761">
                  <c:v>0.76123876123876122</c:v>
                </c:pt>
                <c:pt idx="762">
                  <c:v>0.76223776223776218</c:v>
                </c:pt>
                <c:pt idx="763">
                  <c:v>0.76323676323676326</c:v>
                </c:pt>
                <c:pt idx="764">
                  <c:v>0.76423576423576423</c:v>
                </c:pt>
                <c:pt idx="765">
                  <c:v>0.76523476523476519</c:v>
                </c:pt>
                <c:pt idx="766">
                  <c:v>0.76623376623376627</c:v>
                </c:pt>
                <c:pt idx="767">
                  <c:v>0.76723276723276723</c:v>
                </c:pt>
                <c:pt idx="768">
                  <c:v>0.7682317682317682</c:v>
                </c:pt>
                <c:pt idx="769">
                  <c:v>0.76923076923076927</c:v>
                </c:pt>
                <c:pt idx="770">
                  <c:v>0.77022977022977024</c:v>
                </c:pt>
                <c:pt idx="771">
                  <c:v>0.7712287712287712</c:v>
                </c:pt>
                <c:pt idx="772">
                  <c:v>0.77222777222777228</c:v>
                </c:pt>
                <c:pt idx="773">
                  <c:v>0.77322677322677325</c:v>
                </c:pt>
                <c:pt idx="774">
                  <c:v>0.77422577422577421</c:v>
                </c:pt>
                <c:pt idx="775">
                  <c:v>0.77522477522477518</c:v>
                </c:pt>
                <c:pt idx="776">
                  <c:v>0.77622377622377625</c:v>
                </c:pt>
                <c:pt idx="777">
                  <c:v>0.77722277722277722</c:v>
                </c:pt>
                <c:pt idx="778">
                  <c:v>0.77822177822177818</c:v>
                </c:pt>
                <c:pt idx="779">
                  <c:v>0.77922077922077926</c:v>
                </c:pt>
                <c:pt idx="780">
                  <c:v>0.78021978021978022</c:v>
                </c:pt>
                <c:pt idx="781">
                  <c:v>0.78121878121878119</c:v>
                </c:pt>
                <c:pt idx="782">
                  <c:v>0.78221778221778226</c:v>
                </c:pt>
                <c:pt idx="783">
                  <c:v>0.78321678321678323</c:v>
                </c:pt>
                <c:pt idx="784">
                  <c:v>0.7842157842157842</c:v>
                </c:pt>
                <c:pt idx="785">
                  <c:v>0.78521478521478516</c:v>
                </c:pt>
                <c:pt idx="786">
                  <c:v>0.78621378621378624</c:v>
                </c:pt>
                <c:pt idx="787">
                  <c:v>0.7872127872127872</c:v>
                </c:pt>
                <c:pt idx="788">
                  <c:v>0.78821178821178817</c:v>
                </c:pt>
                <c:pt idx="789">
                  <c:v>0.78921078921078924</c:v>
                </c:pt>
                <c:pt idx="790">
                  <c:v>0.79020979020979021</c:v>
                </c:pt>
                <c:pt idx="791">
                  <c:v>0.79120879120879117</c:v>
                </c:pt>
                <c:pt idx="792">
                  <c:v>0.79220779220779225</c:v>
                </c:pt>
                <c:pt idx="793">
                  <c:v>0.79320679320679321</c:v>
                </c:pt>
                <c:pt idx="794">
                  <c:v>0.79420579420579418</c:v>
                </c:pt>
                <c:pt idx="795">
                  <c:v>0.79520479520479526</c:v>
                </c:pt>
                <c:pt idx="796">
                  <c:v>0.79620379620379622</c:v>
                </c:pt>
                <c:pt idx="797">
                  <c:v>0.79720279720279719</c:v>
                </c:pt>
                <c:pt idx="798">
                  <c:v>0.79820179820179815</c:v>
                </c:pt>
                <c:pt idx="799">
                  <c:v>0.79920079920079923</c:v>
                </c:pt>
                <c:pt idx="800">
                  <c:v>0.80019980019980019</c:v>
                </c:pt>
                <c:pt idx="801">
                  <c:v>0.80119880119880116</c:v>
                </c:pt>
                <c:pt idx="802">
                  <c:v>0.80219780219780223</c:v>
                </c:pt>
                <c:pt idx="803">
                  <c:v>0.8031968031968032</c:v>
                </c:pt>
                <c:pt idx="804">
                  <c:v>0.80419580419580416</c:v>
                </c:pt>
                <c:pt idx="805">
                  <c:v>0.80519480519480524</c:v>
                </c:pt>
                <c:pt idx="806">
                  <c:v>0.80619380619380621</c:v>
                </c:pt>
                <c:pt idx="807">
                  <c:v>0.80719280719280717</c:v>
                </c:pt>
                <c:pt idx="808">
                  <c:v>0.80819180819180814</c:v>
                </c:pt>
                <c:pt idx="809">
                  <c:v>0.80919080919080921</c:v>
                </c:pt>
                <c:pt idx="810">
                  <c:v>0.81018981018981018</c:v>
                </c:pt>
                <c:pt idx="811">
                  <c:v>0.81118881118881114</c:v>
                </c:pt>
                <c:pt idx="812">
                  <c:v>0.81218781218781222</c:v>
                </c:pt>
                <c:pt idx="813">
                  <c:v>0.81318681318681318</c:v>
                </c:pt>
                <c:pt idx="814">
                  <c:v>0.81418581418581415</c:v>
                </c:pt>
                <c:pt idx="815">
                  <c:v>0.81518481518481523</c:v>
                </c:pt>
                <c:pt idx="816">
                  <c:v>0.81618381618381619</c:v>
                </c:pt>
                <c:pt idx="817">
                  <c:v>0.81718281718281716</c:v>
                </c:pt>
                <c:pt idx="818">
                  <c:v>0.81818181818181823</c:v>
                </c:pt>
                <c:pt idx="819">
                  <c:v>0.8191808191808192</c:v>
                </c:pt>
                <c:pt idx="820">
                  <c:v>0.82017982017982016</c:v>
                </c:pt>
                <c:pt idx="821">
                  <c:v>0.82117882117882113</c:v>
                </c:pt>
                <c:pt idx="822">
                  <c:v>0.8221778221778222</c:v>
                </c:pt>
                <c:pt idx="823">
                  <c:v>0.82317682317682317</c:v>
                </c:pt>
                <c:pt idx="824">
                  <c:v>0.82417582417582413</c:v>
                </c:pt>
                <c:pt idx="825">
                  <c:v>0.82517482517482521</c:v>
                </c:pt>
                <c:pt idx="826">
                  <c:v>0.82617382617382618</c:v>
                </c:pt>
                <c:pt idx="827">
                  <c:v>0.82717282717282714</c:v>
                </c:pt>
                <c:pt idx="828">
                  <c:v>0.82817182817182822</c:v>
                </c:pt>
                <c:pt idx="829">
                  <c:v>0.82917082917082918</c:v>
                </c:pt>
                <c:pt idx="830">
                  <c:v>0.83016983016983015</c:v>
                </c:pt>
                <c:pt idx="831">
                  <c:v>0.83116883116883122</c:v>
                </c:pt>
                <c:pt idx="832">
                  <c:v>0.83216783216783219</c:v>
                </c:pt>
                <c:pt idx="833">
                  <c:v>0.83316683316683315</c:v>
                </c:pt>
                <c:pt idx="834">
                  <c:v>0.83416583416583412</c:v>
                </c:pt>
                <c:pt idx="835">
                  <c:v>0.8351648351648352</c:v>
                </c:pt>
                <c:pt idx="836">
                  <c:v>0.83616383616383616</c:v>
                </c:pt>
                <c:pt idx="837">
                  <c:v>0.83716283716283713</c:v>
                </c:pt>
                <c:pt idx="838">
                  <c:v>0.8381618381618382</c:v>
                </c:pt>
                <c:pt idx="839">
                  <c:v>0.83916083916083917</c:v>
                </c:pt>
                <c:pt idx="840">
                  <c:v>0.84015984015984013</c:v>
                </c:pt>
                <c:pt idx="841">
                  <c:v>0.84115884115884121</c:v>
                </c:pt>
                <c:pt idx="842">
                  <c:v>0.84215784215784217</c:v>
                </c:pt>
                <c:pt idx="843">
                  <c:v>0.84315684315684314</c:v>
                </c:pt>
                <c:pt idx="844">
                  <c:v>0.8441558441558441</c:v>
                </c:pt>
                <c:pt idx="845">
                  <c:v>0.84515484515484518</c:v>
                </c:pt>
                <c:pt idx="846">
                  <c:v>0.84615384615384615</c:v>
                </c:pt>
                <c:pt idx="847">
                  <c:v>0.84715284715284711</c:v>
                </c:pt>
                <c:pt idx="848">
                  <c:v>0.84815184815184819</c:v>
                </c:pt>
                <c:pt idx="849">
                  <c:v>0.84915084915084915</c:v>
                </c:pt>
                <c:pt idx="850">
                  <c:v>0.85014985014985012</c:v>
                </c:pt>
                <c:pt idx="851">
                  <c:v>0.85114885114885119</c:v>
                </c:pt>
                <c:pt idx="852">
                  <c:v>0.85214785214785216</c:v>
                </c:pt>
                <c:pt idx="853">
                  <c:v>0.85314685314685312</c:v>
                </c:pt>
                <c:pt idx="854">
                  <c:v>0.8541458541458542</c:v>
                </c:pt>
                <c:pt idx="855">
                  <c:v>0.85514485514485516</c:v>
                </c:pt>
                <c:pt idx="856">
                  <c:v>0.85614385614385613</c:v>
                </c:pt>
                <c:pt idx="857">
                  <c:v>0.8571428571428571</c:v>
                </c:pt>
                <c:pt idx="858">
                  <c:v>0.85814185814185817</c:v>
                </c:pt>
                <c:pt idx="859">
                  <c:v>0.85914085914085914</c:v>
                </c:pt>
                <c:pt idx="860">
                  <c:v>0.8601398601398601</c:v>
                </c:pt>
                <c:pt idx="861">
                  <c:v>0.86113886113886118</c:v>
                </c:pt>
                <c:pt idx="862">
                  <c:v>0.86213786213786214</c:v>
                </c:pt>
                <c:pt idx="863">
                  <c:v>0.86313686313686311</c:v>
                </c:pt>
                <c:pt idx="864">
                  <c:v>0.86413586413586418</c:v>
                </c:pt>
                <c:pt idx="865">
                  <c:v>0.86513486513486515</c:v>
                </c:pt>
                <c:pt idx="866">
                  <c:v>0.86613386613386611</c:v>
                </c:pt>
                <c:pt idx="867">
                  <c:v>0.86713286713286708</c:v>
                </c:pt>
                <c:pt idx="868">
                  <c:v>0.86813186813186816</c:v>
                </c:pt>
                <c:pt idx="869">
                  <c:v>0.86913086913086912</c:v>
                </c:pt>
                <c:pt idx="870">
                  <c:v>0.87012987012987009</c:v>
                </c:pt>
                <c:pt idx="871">
                  <c:v>0.87112887112887116</c:v>
                </c:pt>
                <c:pt idx="872">
                  <c:v>0.87212787212787213</c:v>
                </c:pt>
                <c:pt idx="873">
                  <c:v>0.87312687312687309</c:v>
                </c:pt>
                <c:pt idx="874">
                  <c:v>0.87412587412587417</c:v>
                </c:pt>
                <c:pt idx="875">
                  <c:v>0.87512487512487513</c:v>
                </c:pt>
                <c:pt idx="876">
                  <c:v>0.8761238761238761</c:v>
                </c:pt>
                <c:pt idx="877">
                  <c:v>0.87712287712287718</c:v>
                </c:pt>
                <c:pt idx="878">
                  <c:v>0.87812187812187814</c:v>
                </c:pt>
                <c:pt idx="879">
                  <c:v>0.87912087912087911</c:v>
                </c:pt>
                <c:pt idx="880">
                  <c:v>0.88011988011988007</c:v>
                </c:pt>
                <c:pt idx="881">
                  <c:v>0.88111888111888115</c:v>
                </c:pt>
                <c:pt idx="882">
                  <c:v>0.88211788211788211</c:v>
                </c:pt>
                <c:pt idx="883">
                  <c:v>0.88311688311688308</c:v>
                </c:pt>
                <c:pt idx="884">
                  <c:v>0.88411588411588415</c:v>
                </c:pt>
                <c:pt idx="885">
                  <c:v>0.88511488511488512</c:v>
                </c:pt>
                <c:pt idx="886">
                  <c:v>0.88611388611388608</c:v>
                </c:pt>
                <c:pt idx="887">
                  <c:v>0.88711288711288716</c:v>
                </c:pt>
                <c:pt idx="888">
                  <c:v>0.88811188811188813</c:v>
                </c:pt>
                <c:pt idx="889">
                  <c:v>0.88911088911088909</c:v>
                </c:pt>
                <c:pt idx="890">
                  <c:v>0.89010989010989006</c:v>
                </c:pt>
                <c:pt idx="891">
                  <c:v>0.89110889110889113</c:v>
                </c:pt>
                <c:pt idx="892">
                  <c:v>0.8921078921078921</c:v>
                </c:pt>
                <c:pt idx="893">
                  <c:v>0.89310689310689306</c:v>
                </c:pt>
                <c:pt idx="894">
                  <c:v>0.89410589410589414</c:v>
                </c:pt>
                <c:pt idx="895">
                  <c:v>0.8951048951048951</c:v>
                </c:pt>
                <c:pt idx="896">
                  <c:v>0.89610389610389607</c:v>
                </c:pt>
                <c:pt idx="897">
                  <c:v>0.89710289710289715</c:v>
                </c:pt>
                <c:pt idx="898">
                  <c:v>0.89810189810189811</c:v>
                </c:pt>
                <c:pt idx="899">
                  <c:v>0.89910089910089908</c:v>
                </c:pt>
                <c:pt idx="900">
                  <c:v>0.90009990009990015</c:v>
                </c:pt>
                <c:pt idx="901">
                  <c:v>0.90109890109890112</c:v>
                </c:pt>
                <c:pt idx="902">
                  <c:v>0.90209790209790208</c:v>
                </c:pt>
                <c:pt idx="903">
                  <c:v>0.90309690309690305</c:v>
                </c:pt>
                <c:pt idx="904">
                  <c:v>0.90409590409590412</c:v>
                </c:pt>
                <c:pt idx="905">
                  <c:v>0.90509490509490509</c:v>
                </c:pt>
                <c:pt idx="906">
                  <c:v>0.90609390609390605</c:v>
                </c:pt>
                <c:pt idx="907">
                  <c:v>0.90709290709290713</c:v>
                </c:pt>
                <c:pt idx="908">
                  <c:v>0.9080919080919081</c:v>
                </c:pt>
                <c:pt idx="909">
                  <c:v>0.90909090909090906</c:v>
                </c:pt>
                <c:pt idx="910">
                  <c:v>0.91008991008991014</c:v>
                </c:pt>
                <c:pt idx="911">
                  <c:v>0.9110889110889111</c:v>
                </c:pt>
                <c:pt idx="912">
                  <c:v>0.91208791208791207</c:v>
                </c:pt>
                <c:pt idx="913">
                  <c:v>0.91308691308691303</c:v>
                </c:pt>
                <c:pt idx="914">
                  <c:v>0.91408591408591411</c:v>
                </c:pt>
                <c:pt idx="915">
                  <c:v>0.91508491508491507</c:v>
                </c:pt>
                <c:pt idx="916">
                  <c:v>0.91608391608391604</c:v>
                </c:pt>
                <c:pt idx="917">
                  <c:v>0.91708291708291712</c:v>
                </c:pt>
                <c:pt idx="918">
                  <c:v>0.91808191808191808</c:v>
                </c:pt>
                <c:pt idx="919">
                  <c:v>0.91908091908091905</c:v>
                </c:pt>
                <c:pt idx="920">
                  <c:v>0.92007992007992012</c:v>
                </c:pt>
                <c:pt idx="921">
                  <c:v>0.92107892107892109</c:v>
                </c:pt>
                <c:pt idx="922">
                  <c:v>0.92207792207792205</c:v>
                </c:pt>
                <c:pt idx="923">
                  <c:v>0.92307692307692313</c:v>
                </c:pt>
                <c:pt idx="924">
                  <c:v>0.92407592407592409</c:v>
                </c:pt>
                <c:pt idx="925">
                  <c:v>0.92507492507492506</c:v>
                </c:pt>
                <c:pt idx="926">
                  <c:v>0.92607392607392602</c:v>
                </c:pt>
                <c:pt idx="927">
                  <c:v>0.9270729270729271</c:v>
                </c:pt>
                <c:pt idx="928">
                  <c:v>0.92807192807192807</c:v>
                </c:pt>
                <c:pt idx="929">
                  <c:v>0.92907092907092903</c:v>
                </c:pt>
                <c:pt idx="930">
                  <c:v>0.93006993006993011</c:v>
                </c:pt>
                <c:pt idx="931">
                  <c:v>0.93106893106893107</c:v>
                </c:pt>
                <c:pt idx="932">
                  <c:v>0.93206793206793204</c:v>
                </c:pt>
                <c:pt idx="933">
                  <c:v>0.93306693306693311</c:v>
                </c:pt>
                <c:pt idx="934">
                  <c:v>0.93406593406593408</c:v>
                </c:pt>
                <c:pt idx="935">
                  <c:v>0.93506493506493504</c:v>
                </c:pt>
                <c:pt idx="936">
                  <c:v>0.93606393606393601</c:v>
                </c:pt>
                <c:pt idx="937">
                  <c:v>0.93706293706293708</c:v>
                </c:pt>
                <c:pt idx="938">
                  <c:v>0.93806193806193805</c:v>
                </c:pt>
                <c:pt idx="939">
                  <c:v>0.93906093906093902</c:v>
                </c:pt>
                <c:pt idx="940">
                  <c:v>0.94005994005994009</c:v>
                </c:pt>
                <c:pt idx="941">
                  <c:v>0.94105894105894106</c:v>
                </c:pt>
                <c:pt idx="942">
                  <c:v>0.94205794205794202</c:v>
                </c:pt>
                <c:pt idx="943">
                  <c:v>0.9430569430569431</c:v>
                </c:pt>
                <c:pt idx="944">
                  <c:v>0.94405594405594406</c:v>
                </c:pt>
                <c:pt idx="945">
                  <c:v>0.94505494505494503</c:v>
                </c:pt>
                <c:pt idx="946">
                  <c:v>0.9460539460539461</c:v>
                </c:pt>
                <c:pt idx="947">
                  <c:v>0.94705294705294707</c:v>
                </c:pt>
                <c:pt idx="948">
                  <c:v>0.94805194805194803</c:v>
                </c:pt>
                <c:pt idx="949">
                  <c:v>0.949050949050949</c:v>
                </c:pt>
                <c:pt idx="950">
                  <c:v>0.95004995004995008</c:v>
                </c:pt>
                <c:pt idx="951">
                  <c:v>0.95104895104895104</c:v>
                </c:pt>
                <c:pt idx="952">
                  <c:v>0.95204795204795201</c:v>
                </c:pt>
                <c:pt idx="953">
                  <c:v>0.95304695304695308</c:v>
                </c:pt>
                <c:pt idx="954">
                  <c:v>0.95404595404595405</c:v>
                </c:pt>
                <c:pt idx="955">
                  <c:v>0.95504495504495501</c:v>
                </c:pt>
                <c:pt idx="956">
                  <c:v>0.95604395604395609</c:v>
                </c:pt>
                <c:pt idx="957">
                  <c:v>0.95704295704295705</c:v>
                </c:pt>
                <c:pt idx="958">
                  <c:v>0.95804195804195802</c:v>
                </c:pt>
                <c:pt idx="959">
                  <c:v>0.9590409590409591</c:v>
                </c:pt>
                <c:pt idx="960">
                  <c:v>0.96003996003996006</c:v>
                </c:pt>
                <c:pt idx="961">
                  <c:v>0.96103896103896103</c:v>
                </c:pt>
                <c:pt idx="962">
                  <c:v>0.96203796203796199</c:v>
                </c:pt>
                <c:pt idx="963">
                  <c:v>0.96303696303696307</c:v>
                </c:pt>
                <c:pt idx="964">
                  <c:v>0.96403596403596403</c:v>
                </c:pt>
                <c:pt idx="965">
                  <c:v>0.965034965034965</c:v>
                </c:pt>
                <c:pt idx="966">
                  <c:v>0.96603396603396607</c:v>
                </c:pt>
                <c:pt idx="967">
                  <c:v>0.96703296703296704</c:v>
                </c:pt>
                <c:pt idx="968">
                  <c:v>0.968031968031968</c:v>
                </c:pt>
                <c:pt idx="969">
                  <c:v>0.96903096903096908</c:v>
                </c:pt>
                <c:pt idx="970">
                  <c:v>0.97002997002997005</c:v>
                </c:pt>
                <c:pt idx="971">
                  <c:v>0.97102897102897101</c:v>
                </c:pt>
                <c:pt idx="972">
                  <c:v>0.97202797202797198</c:v>
                </c:pt>
                <c:pt idx="973">
                  <c:v>0.97302697302697305</c:v>
                </c:pt>
                <c:pt idx="974">
                  <c:v>0.97402597402597402</c:v>
                </c:pt>
                <c:pt idx="975">
                  <c:v>0.97502497502497498</c:v>
                </c:pt>
                <c:pt idx="976">
                  <c:v>0.97602397602397606</c:v>
                </c:pt>
                <c:pt idx="977">
                  <c:v>0.97702297702297702</c:v>
                </c:pt>
                <c:pt idx="978">
                  <c:v>0.97802197802197799</c:v>
                </c:pt>
                <c:pt idx="979">
                  <c:v>0.97902097902097907</c:v>
                </c:pt>
                <c:pt idx="980">
                  <c:v>0.98001998001998003</c:v>
                </c:pt>
                <c:pt idx="981">
                  <c:v>0.981018981018981</c:v>
                </c:pt>
                <c:pt idx="982">
                  <c:v>0.98201798201798207</c:v>
                </c:pt>
                <c:pt idx="983">
                  <c:v>0.98301698301698304</c:v>
                </c:pt>
                <c:pt idx="984">
                  <c:v>0.984015984015984</c:v>
                </c:pt>
                <c:pt idx="985">
                  <c:v>0.98501498501498497</c:v>
                </c:pt>
                <c:pt idx="986">
                  <c:v>0.98601398601398604</c:v>
                </c:pt>
                <c:pt idx="987">
                  <c:v>0.98701298701298701</c:v>
                </c:pt>
                <c:pt idx="988">
                  <c:v>0.98801198801198797</c:v>
                </c:pt>
                <c:pt idx="989">
                  <c:v>0.98901098901098905</c:v>
                </c:pt>
                <c:pt idx="990">
                  <c:v>0.99000999000999002</c:v>
                </c:pt>
                <c:pt idx="991">
                  <c:v>0.99100899100899098</c:v>
                </c:pt>
                <c:pt idx="992">
                  <c:v>0.99200799200799206</c:v>
                </c:pt>
                <c:pt idx="993">
                  <c:v>0.99300699300699302</c:v>
                </c:pt>
                <c:pt idx="994">
                  <c:v>0.99400599400599399</c:v>
                </c:pt>
                <c:pt idx="995">
                  <c:v>0.99500499500499495</c:v>
                </c:pt>
                <c:pt idx="996">
                  <c:v>0.99600399600399603</c:v>
                </c:pt>
                <c:pt idx="997">
                  <c:v>0.99700299700299699</c:v>
                </c:pt>
                <c:pt idx="998">
                  <c:v>0.99800199800199796</c:v>
                </c:pt>
                <c:pt idx="999">
                  <c:v>0.99900099900099903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7B-4B50-8F2E-BBF5B7F5C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27568"/>
        <c:axId val="1425871631"/>
      </c:scatterChart>
      <c:valAx>
        <c:axId val="14922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25871631"/>
        <c:crosses val="autoZero"/>
        <c:crossBetween val="midCat"/>
      </c:valAx>
      <c:valAx>
        <c:axId val="142587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227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Wartości standaryzowane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Arkusz1!$C$2:$C$1001</c:f>
              <c:numCache>
                <c:formatCode>General</c:formatCode>
                <c:ptCount val="1000"/>
                <c:pt idx="0">
                  <c:v>5.9661467391236922</c:v>
                </c:pt>
                <c:pt idx="1">
                  <c:v>5.9676840184425783</c:v>
                </c:pt>
                <c:pt idx="2">
                  <c:v>5.9679400020610247</c:v>
                </c:pt>
                <c:pt idx="3">
                  <c:v>5.9692189381606626</c:v>
                </c:pt>
                <c:pt idx="4">
                  <c:v>5.9694745292163667</c:v>
                </c:pt>
                <c:pt idx="5">
                  <c:v>5.9702409106563552</c:v>
                </c:pt>
                <c:pt idx="6">
                  <c:v>5.9704962406717854</c:v>
                </c:pt>
                <c:pt idx="7">
                  <c:v>5.9707515055104405</c:v>
                </c:pt>
                <c:pt idx="8">
                  <c:v>5.9707515055104405</c:v>
                </c:pt>
                <c:pt idx="9">
                  <c:v>5.9707515055104405</c:v>
                </c:pt>
                <c:pt idx="10">
                  <c:v>5.9712618397904622</c:v>
                </c:pt>
                <c:pt idx="11">
                  <c:v>5.9712618397904622</c:v>
                </c:pt>
                <c:pt idx="12">
                  <c:v>5.9715169092982858</c:v>
                </c:pt>
                <c:pt idx="13">
                  <c:v>5.9717719137622458</c:v>
                </c:pt>
                <c:pt idx="14">
                  <c:v>5.9720268532155067</c:v>
                </c:pt>
                <c:pt idx="15">
                  <c:v>5.9720268532155067</c:v>
                </c:pt>
                <c:pt idx="16">
                  <c:v>5.9722817276912084</c:v>
                </c:pt>
                <c:pt idx="17">
                  <c:v>5.9722817276912084</c:v>
                </c:pt>
                <c:pt idx="18">
                  <c:v>5.9725365372224628</c:v>
                </c:pt>
                <c:pt idx="19">
                  <c:v>5.9730459615839635</c:v>
                </c:pt>
                <c:pt idx="20">
                  <c:v>5.9730459615839635</c:v>
                </c:pt>
                <c:pt idx="21">
                  <c:v>5.9733005764803107</c:v>
                </c:pt>
                <c:pt idx="22">
                  <c:v>5.9733005764803107</c:v>
                </c:pt>
                <c:pt idx="23">
                  <c:v>5.9735551265644142</c:v>
                </c:pt>
                <c:pt idx="24">
                  <c:v>5.9740640324278145</c:v>
                </c:pt>
                <c:pt idx="25">
                  <c:v>5.9740640324278145</c:v>
                </c:pt>
                <c:pt idx="26">
                  <c:v>5.9740640324278145</c:v>
                </c:pt>
                <c:pt idx="27">
                  <c:v>5.9748269059549584</c:v>
                </c:pt>
                <c:pt idx="28">
                  <c:v>5.9750810678574577</c:v>
                </c:pt>
                <c:pt idx="29">
                  <c:v>5.9750810678574577</c:v>
                </c:pt>
                <c:pt idx="30">
                  <c:v>5.9753351651780982</c:v>
                </c:pt>
                <c:pt idx="31">
                  <c:v>5.9753351651780982</c:v>
                </c:pt>
                <c:pt idx="32">
                  <c:v>5.9755891979496916</c:v>
                </c:pt>
                <c:pt idx="33">
                  <c:v>5.9758431662050251</c:v>
                </c:pt>
                <c:pt idx="34">
                  <c:v>5.9760970699768601</c:v>
                </c:pt>
                <c:pt idx="35">
                  <c:v>5.9760970699768601</c:v>
                </c:pt>
                <c:pt idx="36">
                  <c:v>5.9760970699768601</c:v>
                </c:pt>
                <c:pt idx="37">
                  <c:v>5.9763509092979339</c:v>
                </c:pt>
                <c:pt idx="38">
                  <c:v>5.9763509092979339</c:v>
                </c:pt>
                <c:pt idx="39">
                  <c:v>5.9766046842009581</c:v>
                </c:pt>
                <c:pt idx="40">
                  <c:v>5.9766046842009581</c:v>
                </c:pt>
                <c:pt idx="41">
                  <c:v>5.9766046842009581</c:v>
                </c:pt>
                <c:pt idx="42">
                  <c:v>5.9766046842009581</c:v>
                </c:pt>
                <c:pt idx="43">
                  <c:v>5.9768583947186196</c:v>
                </c:pt>
                <c:pt idx="44">
                  <c:v>5.9768583947186196</c:v>
                </c:pt>
                <c:pt idx="45">
                  <c:v>5.9768583947186196</c:v>
                </c:pt>
                <c:pt idx="46">
                  <c:v>5.9771120408835818</c:v>
                </c:pt>
                <c:pt idx="47">
                  <c:v>5.9771120408835818</c:v>
                </c:pt>
                <c:pt idx="48">
                  <c:v>5.9771120408835818</c:v>
                </c:pt>
                <c:pt idx="49">
                  <c:v>5.9773656227284802</c:v>
                </c:pt>
                <c:pt idx="50">
                  <c:v>5.9773656227284802</c:v>
                </c:pt>
                <c:pt idx="51">
                  <c:v>5.9773656227284802</c:v>
                </c:pt>
                <c:pt idx="52">
                  <c:v>5.9773656227284802</c:v>
                </c:pt>
                <c:pt idx="53">
                  <c:v>5.9773656227284802</c:v>
                </c:pt>
                <c:pt idx="54">
                  <c:v>5.9773656227284802</c:v>
                </c:pt>
                <c:pt idx="55">
                  <c:v>5.9776191402859293</c:v>
                </c:pt>
                <c:pt idx="56">
                  <c:v>5.9776191402859293</c:v>
                </c:pt>
                <c:pt idx="57">
                  <c:v>5.9776191402859293</c:v>
                </c:pt>
                <c:pt idx="58">
                  <c:v>5.9776191402859293</c:v>
                </c:pt>
                <c:pt idx="59">
                  <c:v>5.9776191402859293</c:v>
                </c:pt>
                <c:pt idx="60">
                  <c:v>5.9778725935885149</c:v>
                </c:pt>
                <c:pt idx="61">
                  <c:v>5.9781259826688018</c:v>
                </c:pt>
                <c:pt idx="62">
                  <c:v>5.9781259826688018</c:v>
                </c:pt>
                <c:pt idx="63">
                  <c:v>5.9781259826688018</c:v>
                </c:pt>
                <c:pt idx="64">
                  <c:v>5.9781259826688018</c:v>
                </c:pt>
                <c:pt idx="65">
                  <c:v>5.9783793075593268</c:v>
                </c:pt>
                <c:pt idx="66">
                  <c:v>5.9783793075593268</c:v>
                </c:pt>
                <c:pt idx="67">
                  <c:v>5.9783793075593268</c:v>
                </c:pt>
                <c:pt idx="68">
                  <c:v>5.9783793075593268</c:v>
                </c:pt>
                <c:pt idx="69">
                  <c:v>5.9783793075593268</c:v>
                </c:pt>
                <c:pt idx="70">
                  <c:v>5.9786325682926034</c:v>
                </c:pt>
                <c:pt idx="71">
                  <c:v>5.9786325682926034</c:v>
                </c:pt>
                <c:pt idx="72">
                  <c:v>5.9786325682926034</c:v>
                </c:pt>
                <c:pt idx="73">
                  <c:v>5.9786325682926034</c:v>
                </c:pt>
                <c:pt idx="74">
                  <c:v>5.9786325682926034</c:v>
                </c:pt>
                <c:pt idx="75">
                  <c:v>5.9786325682926034</c:v>
                </c:pt>
                <c:pt idx="76">
                  <c:v>5.9786325682926034</c:v>
                </c:pt>
                <c:pt idx="77">
                  <c:v>5.978885764901122</c:v>
                </c:pt>
                <c:pt idx="78">
                  <c:v>5.978885764901122</c:v>
                </c:pt>
                <c:pt idx="79">
                  <c:v>5.978885764901122</c:v>
                </c:pt>
                <c:pt idx="80">
                  <c:v>5.978885764901122</c:v>
                </c:pt>
                <c:pt idx="81">
                  <c:v>5.9791388974173447</c:v>
                </c:pt>
                <c:pt idx="82">
                  <c:v>5.9791388974173447</c:v>
                </c:pt>
                <c:pt idx="83">
                  <c:v>5.9791388974173447</c:v>
                </c:pt>
                <c:pt idx="84">
                  <c:v>5.9791388974173447</c:v>
                </c:pt>
                <c:pt idx="85">
                  <c:v>5.9791388974173447</c:v>
                </c:pt>
                <c:pt idx="86">
                  <c:v>5.9793919658737131</c:v>
                </c:pt>
                <c:pt idx="87">
                  <c:v>5.9793919658737131</c:v>
                </c:pt>
                <c:pt idx="88">
                  <c:v>5.9793919658737131</c:v>
                </c:pt>
                <c:pt idx="89">
                  <c:v>5.9793919658737131</c:v>
                </c:pt>
                <c:pt idx="90">
                  <c:v>5.9801507872077089</c:v>
                </c:pt>
                <c:pt idx="91">
                  <c:v>5.9804035997485574</c:v>
                </c:pt>
                <c:pt idx="92">
                  <c:v>5.9806563483913786</c:v>
                </c:pt>
                <c:pt idx="93">
                  <c:v>5.9806563483913786</c:v>
                </c:pt>
                <c:pt idx="94">
                  <c:v>5.9806563483913786</c:v>
                </c:pt>
                <c:pt idx="95">
                  <c:v>5.9809090331684658</c:v>
                </c:pt>
                <c:pt idx="96">
                  <c:v>5.9811616541120847</c:v>
                </c:pt>
                <c:pt idx="97">
                  <c:v>5.9811616541120847</c:v>
                </c:pt>
                <c:pt idx="98">
                  <c:v>5.9811616541120847</c:v>
                </c:pt>
                <c:pt idx="99">
                  <c:v>5.9814142112544806</c:v>
                </c:pt>
                <c:pt idx="100">
                  <c:v>5.9816667046278713</c:v>
                </c:pt>
                <c:pt idx="101">
                  <c:v>5.9821715001963893</c:v>
                </c:pt>
                <c:pt idx="102">
                  <c:v>5.9824238024558332</c:v>
                </c:pt>
                <c:pt idx="103">
                  <c:v>5.9824238024558332</c:v>
                </c:pt>
                <c:pt idx="104">
                  <c:v>5.9824238024558332</c:v>
                </c:pt>
                <c:pt idx="105">
                  <c:v>5.9826760410749023</c:v>
                </c:pt>
                <c:pt idx="106">
                  <c:v>5.9829282160856954</c:v>
                </c:pt>
                <c:pt idx="107">
                  <c:v>5.9829282160856954</c:v>
                </c:pt>
                <c:pt idx="108">
                  <c:v>5.9829282160856954</c:v>
                </c:pt>
                <c:pt idx="109">
                  <c:v>5.9831803275202846</c:v>
                </c:pt>
                <c:pt idx="110">
                  <c:v>5.9831803275202846</c:v>
                </c:pt>
                <c:pt idx="111">
                  <c:v>5.9831803275202846</c:v>
                </c:pt>
                <c:pt idx="112">
                  <c:v>5.9834323754107182</c:v>
                </c:pt>
                <c:pt idx="113">
                  <c:v>5.9836843597890192</c:v>
                </c:pt>
                <c:pt idx="114">
                  <c:v>5.9836843597890192</c:v>
                </c:pt>
                <c:pt idx="115">
                  <c:v>5.9836843597890192</c:v>
                </c:pt>
                <c:pt idx="116">
                  <c:v>5.9836843597890192</c:v>
                </c:pt>
                <c:pt idx="117">
                  <c:v>5.9836843597890192</c:v>
                </c:pt>
                <c:pt idx="118">
                  <c:v>5.9839362806871907</c:v>
                </c:pt>
                <c:pt idx="119">
                  <c:v>5.9839362806871907</c:v>
                </c:pt>
                <c:pt idx="120">
                  <c:v>5.9839362806871907</c:v>
                </c:pt>
                <c:pt idx="121">
                  <c:v>5.9839362806871907</c:v>
                </c:pt>
                <c:pt idx="122">
                  <c:v>5.9839362806871907</c:v>
                </c:pt>
                <c:pt idx="123">
                  <c:v>5.9841881381372062</c:v>
                </c:pt>
                <c:pt idx="124">
                  <c:v>5.9841881381372062</c:v>
                </c:pt>
                <c:pt idx="125">
                  <c:v>5.9841881381372062</c:v>
                </c:pt>
                <c:pt idx="126">
                  <c:v>5.9841881381372062</c:v>
                </c:pt>
                <c:pt idx="127">
                  <c:v>5.9841881381372062</c:v>
                </c:pt>
                <c:pt idx="128">
                  <c:v>5.9844399321710178</c:v>
                </c:pt>
                <c:pt idx="129">
                  <c:v>5.9844399321710178</c:v>
                </c:pt>
                <c:pt idx="130">
                  <c:v>5.9844399321710178</c:v>
                </c:pt>
                <c:pt idx="131">
                  <c:v>5.9844399321710178</c:v>
                </c:pt>
                <c:pt idx="132">
                  <c:v>5.9846916628205529</c:v>
                </c:pt>
                <c:pt idx="133">
                  <c:v>5.9849433301177166</c:v>
                </c:pt>
                <c:pt idx="134">
                  <c:v>5.9849433301177166</c:v>
                </c:pt>
                <c:pt idx="135">
                  <c:v>5.9851949340943866</c:v>
                </c:pt>
                <c:pt idx="136">
                  <c:v>5.9851949340943866</c:v>
                </c:pt>
                <c:pt idx="137">
                  <c:v>5.9851949340943866</c:v>
                </c:pt>
                <c:pt idx="138">
                  <c:v>5.9854464747824192</c:v>
                </c:pt>
                <c:pt idx="139">
                  <c:v>5.9854464747824192</c:v>
                </c:pt>
                <c:pt idx="140">
                  <c:v>5.9854464747824192</c:v>
                </c:pt>
                <c:pt idx="141">
                  <c:v>5.9856979522136449</c:v>
                </c:pt>
                <c:pt idx="142">
                  <c:v>5.9856979522136449</c:v>
                </c:pt>
                <c:pt idx="143">
                  <c:v>5.9856979522136449</c:v>
                </c:pt>
                <c:pt idx="144">
                  <c:v>5.985949366419872</c:v>
                </c:pt>
                <c:pt idx="145">
                  <c:v>5.985949366419872</c:v>
                </c:pt>
                <c:pt idx="146">
                  <c:v>5.985949366419872</c:v>
                </c:pt>
                <c:pt idx="147">
                  <c:v>5.985949366419872</c:v>
                </c:pt>
                <c:pt idx="148">
                  <c:v>5.9862007174328831</c:v>
                </c:pt>
                <c:pt idx="149">
                  <c:v>5.9862007174328831</c:v>
                </c:pt>
                <c:pt idx="150">
                  <c:v>5.9862007174328831</c:v>
                </c:pt>
                <c:pt idx="151">
                  <c:v>5.9864520052844377</c:v>
                </c:pt>
                <c:pt idx="152">
                  <c:v>5.9864520052844377</c:v>
                </c:pt>
                <c:pt idx="153">
                  <c:v>5.9867032300062712</c:v>
                </c:pt>
                <c:pt idx="154">
                  <c:v>5.9867032300062712</c:v>
                </c:pt>
                <c:pt idx="155">
                  <c:v>5.9867032300062712</c:v>
                </c:pt>
                <c:pt idx="156">
                  <c:v>5.9867032300062712</c:v>
                </c:pt>
                <c:pt idx="157">
                  <c:v>5.9867032300062712</c:v>
                </c:pt>
                <c:pt idx="158">
                  <c:v>5.9867032300062712</c:v>
                </c:pt>
                <c:pt idx="159">
                  <c:v>5.9867032300062712</c:v>
                </c:pt>
                <c:pt idx="160">
                  <c:v>5.9867032300062712</c:v>
                </c:pt>
                <c:pt idx="161">
                  <c:v>5.9867032300062712</c:v>
                </c:pt>
                <c:pt idx="162">
                  <c:v>5.9867032300062712</c:v>
                </c:pt>
                <c:pt idx="163">
                  <c:v>5.9869543916300962</c:v>
                </c:pt>
                <c:pt idx="164">
                  <c:v>5.9869543916300962</c:v>
                </c:pt>
                <c:pt idx="165">
                  <c:v>5.9869543916300962</c:v>
                </c:pt>
                <c:pt idx="166">
                  <c:v>5.9869543916300962</c:v>
                </c:pt>
                <c:pt idx="167">
                  <c:v>5.9872054901875984</c:v>
                </c:pt>
                <c:pt idx="168">
                  <c:v>5.9872054901875984</c:v>
                </c:pt>
                <c:pt idx="169">
                  <c:v>5.9872054901875984</c:v>
                </c:pt>
                <c:pt idx="170">
                  <c:v>5.9872054901875984</c:v>
                </c:pt>
                <c:pt idx="171">
                  <c:v>5.9872054901875984</c:v>
                </c:pt>
                <c:pt idx="172">
                  <c:v>5.9874565257104431</c:v>
                </c:pt>
                <c:pt idx="173">
                  <c:v>5.9874565257104431</c:v>
                </c:pt>
                <c:pt idx="174">
                  <c:v>5.9874565257104431</c:v>
                </c:pt>
                <c:pt idx="175">
                  <c:v>5.9874565257104431</c:v>
                </c:pt>
                <c:pt idx="176">
                  <c:v>5.9874565257104431</c:v>
                </c:pt>
                <c:pt idx="177">
                  <c:v>5.9874565257104431</c:v>
                </c:pt>
                <c:pt idx="178">
                  <c:v>5.9874565257104431</c:v>
                </c:pt>
                <c:pt idx="179">
                  <c:v>5.9874565257104431</c:v>
                </c:pt>
                <c:pt idx="180">
                  <c:v>5.9874565257104431</c:v>
                </c:pt>
                <c:pt idx="181">
                  <c:v>5.9877074982302698</c:v>
                </c:pt>
                <c:pt idx="182">
                  <c:v>5.9877074982302698</c:v>
                </c:pt>
                <c:pt idx="183">
                  <c:v>5.9877074982302698</c:v>
                </c:pt>
                <c:pt idx="184">
                  <c:v>5.9877074982302698</c:v>
                </c:pt>
                <c:pt idx="185">
                  <c:v>5.9877074982302698</c:v>
                </c:pt>
                <c:pt idx="186">
                  <c:v>5.9877074982302698</c:v>
                </c:pt>
                <c:pt idx="187">
                  <c:v>5.9877074982302698</c:v>
                </c:pt>
                <c:pt idx="188">
                  <c:v>5.9877074982302698</c:v>
                </c:pt>
                <c:pt idx="189">
                  <c:v>5.9879584077786943</c:v>
                </c:pt>
                <c:pt idx="190">
                  <c:v>5.9879584077786943</c:v>
                </c:pt>
                <c:pt idx="191">
                  <c:v>5.9879584077786943</c:v>
                </c:pt>
                <c:pt idx="192">
                  <c:v>5.9879584077786943</c:v>
                </c:pt>
                <c:pt idx="193">
                  <c:v>5.9879584077786943</c:v>
                </c:pt>
                <c:pt idx="194">
                  <c:v>5.9879584077786943</c:v>
                </c:pt>
                <c:pt idx="195">
                  <c:v>5.9879584077786943</c:v>
                </c:pt>
                <c:pt idx="196">
                  <c:v>5.9879584077786943</c:v>
                </c:pt>
                <c:pt idx="197">
                  <c:v>5.9882092543873089</c:v>
                </c:pt>
                <c:pt idx="198">
                  <c:v>5.9882092543873089</c:v>
                </c:pt>
                <c:pt idx="199">
                  <c:v>5.9882092543873089</c:v>
                </c:pt>
                <c:pt idx="200">
                  <c:v>5.9882092543873089</c:v>
                </c:pt>
                <c:pt idx="201">
                  <c:v>5.9882092543873089</c:v>
                </c:pt>
                <c:pt idx="202">
                  <c:v>5.9882092543873089</c:v>
                </c:pt>
                <c:pt idx="203">
                  <c:v>5.9882092543873089</c:v>
                </c:pt>
                <c:pt idx="204">
                  <c:v>5.9882092543873089</c:v>
                </c:pt>
                <c:pt idx="205">
                  <c:v>5.9882092543873089</c:v>
                </c:pt>
                <c:pt idx="206">
                  <c:v>5.9884600380876831</c:v>
                </c:pt>
                <c:pt idx="207">
                  <c:v>5.9884600380876831</c:v>
                </c:pt>
                <c:pt idx="208">
                  <c:v>5.9884600380876831</c:v>
                </c:pt>
                <c:pt idx="209">
                  <c:v>5.9884600380876831</c:v>
                </c:pt>
                <c:pt idx="210">
                  <c:v>5.9884600380876831</c:v>
                </c:pt>
                <c:pt idx="211">
                  <c:v>5.9884600380876831</c:v>
                </c:pt>
                <c:pt idx="212">
                  <c:v>5.9884600380876831</c:v>
                </c:pt>
                <c:pt idx="213">
                  <c:v>5.9884600380876831</c:v>
                </c:pt>
                <c:pt idx="214">
                  <c:v>5.9884600380876831</c:v>
                </c:pt>
                <c:pt idx="215">
                  <c:v>5.9887107589113606</c:v>
                </c:pt>
                <c:pt idx="216">
                  <c:v>5.9887107589113606</c:v>
                </c:pt>
                <c:pt idx="217">
                  <c:v>5.9887107589113606</c:v>
                </c:pt>
                <c:pt idx="218">
                  <c:v>5.9887107589113606</c:v>
                </c:pt>
                <c:pt idx="219">
                  <c:v>5.9887107589113606</c:v>
                </c:pt>
                <c:pt idx="220">
                  <c:v>5.9887107589113606</c:v>
                </c:pt>
                <c:pt idx="221">
                  <c:v>5.9887107589113606</c:v>
                </c:pt>
                <c:pt idx="222">
                  <c:v>5.9887107589113606</c:v>
                </c:pt>
                <c:pt idx="223">
                  <c:v>5.9887107589113606</c:v>
                </c:pt>
                <c:pt idx="224">
                  <c:v>5.9887107589113606</c:v>
                </c:pt>
                <c:pt idx="225">
                  <c:v>5.9887107589113606</c:v>
                </c:pt>
                <c:pt idx="226">
                  <c:v>5.9889614168898637</c:v>
                </c:pt>
                <c:pt idx="227">
                  <c:v>5.9889614168898637</c:v>
                </c:pt>
                <c:pt idx="228">
                  <c:v>5.9889614168898637</c:v>
                </c:pt>
                <c:pt idx="229">
                  <c:v>5.9889614168898637</c:v>
                </c:pt>
                <c:pt idx="230">
                  <c:v>5.9889614168898637</c:v>
                </c:pt>
                <c:pt idx="231">
                  <c:v>5.9889614168898637</c:v>
                </c:pt>
                <c:pt idx="232">
                  <c:v>5.9889614168898637</c:v>
                </c:pt>
                <c:pt idx="233">
                  <c:v>5.9889614168898637</c:v>
                </c:pt>
                <c:pt idx="234">
                  <c:v>5.9889614168898637</c:v>
                </c:pt>
                <c:pt idx="235">
                  <c:v>5.9889614168898637</c:v>
                </c:pt>
                <c:pt idx="236">
                  <c:v>5.9892120120546881</c:v>
                </c:pt>
                <c:pt idx="237">
                  <c:v>5.9892120120546881</c:v>
                </c:pt>
                <c:pt idx="238">
                  <c:v>5.9892120120546881</c:v>
                </c:pt>
                <c:pt idx="239">
                  <c:v>5.9892120120546881</c:v>
                </c:pt>
                <c:pt idx="240">
                  <c:v>5.9892120120546881</c:v>
                </c:pt>
                <c:pt idx="241">
                  <c:v>5.9892120120546881</c:v>
                </c:pt>
                <c:pt idx="242">
                  <c:v>5.9892120120546881</c:v>
                </c:pt>
                <c:pt idx="243">
                  <c:v>5.9892120120546881</c:v>
                </c:pt>
                <c:pt idx="244">
                  <c:v>5.9892120120546881</c:v>
                </c:pt>
                <c:pt idx="245">
                  <c:v>5.9892120120546881</c:v>
                </c:pt>
                <c:pt idx="246">
                  <c:v>5.9892120120546881</c:v>
                </c:pt>
                <c:pt idx="247">
                  <c:v>5.9892120120546881</c:v>
                </c:pt>
                <c:pt idx="248">
                  <c:v>5.9894625444373091</c:v>
                </c:pt>
                <c:pt idx="249">
                  <c:v>5.9894625444373091</c:v>
                </c:pt>
                <c:pt idx="250">
                  <c:v>5.9894625444373091</c:v>
                </c:pt>
                <c:pt idx="251">
                  <c:v>5.9894625444373091</c:v>
                </c:pt>
                <c:pt idx="252">
                  <c:v>5.9894625444373091</c:v>
                </c:pt>
                <c:pt idx="253">
                  <c:v>5.9894625444373091</c:v>
                </c:pt>
                <c:pt idx="254">
                  <c:v>5.9894625444373091</c:v>
                </c:pt>
                <c:pt idx="255">
                  <c:v>5.9894625444373091</c:v>
                </c:pt>
                <c:pt idx="256">
                  <c:v>5.9894625444373091</c:v>
                </c:pt>
                <c:pt idx="257">
                  <c:v>5.9894625444373091</c:v>
                </c:pt>
                <c:pt idx="258">
                  <c:v>5.9897130140691761</c:v>
                </c:pt>
                <c:pt idx="259">
                  <c:v>5.9897130140691761</c:v>
                </c:pt>
                <c:pt idx="260">
                  <c:v>5.9897130140691761</c:v>
                </c:pt>
                <c:pt idx="261">
                  <c:v>5.9897130140691761</c:v>
                </c:pt>
                <c:pt idx="262">
                  <c:v>5.9897130140691761</c:v>
                </c:pt>
                <c:pt idx="263">
                  <c:v>5.9897130140691761</c:v>
                </c:pt>
                <c:pt idx="264">
                  <c:v>5.9897130140691761</c:v>
                </c:pt>
                <c:pt idx="265">
                  <c:v>5.9897130140691761</c:v>
                </c:pt>
                <c:pt idx="266">
                  <c:v>5.9897130140691761</c:v>
                </c:pt>
                <c:pt idx="267">
                  <c:v>5.9897130140691761</c:v>
                </c:pt>
                <c:pt idx="268">
                  <c:v>5.9899634209817147</c:v>
                </c:pt>
                <c:pt idx="269">
                  <c:v>5.9899634209817147</c:v>
                </c:pt>
                <c:pt idx="270">
                  <c:v>5.9899634209817147</c:v>
                </c:pt>
                <c:pt idx="271">
                  <c:v>5.9899634209817147</c:v>
                </c:pt>
                <c:pt idx="272">
                  <c:v>5.9899634209817147</c:v>
                </c:pt>
                <c:pt idx="273">
                  <c:v>5.9899634209817147</c:v>
                </c:pt>
                <c:pt idx="274">
                  <c:v>5.9899634209817147</c:v>
                </c:pt>
                <c:pt idx="275">
                  <c:v>5.9899634209817147</c:v>
                </c:pt>
                <c:pt idx="276">
                  <c:v>5.9899634209817147</c:v>
                </c:pt>
                <c:pt idx="277">
                  <c:v>5.9899634209817147</c:v>
                </c:pt>
                <c:pt idx="278">
                  <c:v>5.9899634209817147</c:v>
                </c:pt>
                <c:pt idx="279">
                  <c:v>5.9899634209817147</c:v>
                </c:pt>
                <c:pt idx="280">
                  <c:v>5.9899634209817147</c:v>
                </c:pt>
                <c:pt idx="281">
                  <c:v>5.9899634209817147</c:v>
                </c:pt>
                <c:pt idx="282">
                  <c:v>5.9899634209817147</c:v>
                </c:pt>
                <c:pt idx="283">
                  <c:v>5.9902137652063292</c:v>
                </c:pt>
                <c:pt idx="284">
                  <c:v>5.9902137652063292</c:v>
                </c:pt>
                <c:pt idx="285">
                  <c:v>5.9902137652063292</c:v>
                </c:pt>
                <c:pt idx="286">
                  <c:v>5.9902137652063292</c:v>
                </c:pt>
                <c:pt idx="287">
                  <c:v>5.9902137652063292</c:v>
                </c:pt>
                <c:pt idx="288">
                  <c:v>5.9902137652063292</c:v>
                </c:pt>
                <c:pt idx="289">
                  <c:v>5.9902137652063292</c:v>
                </c:pt>
                <c:pt idx="290">
                  <c:v>5.9902137652063292</c:v>
                </c:pt>
                <c:pt idx="291">
                  <c:v>5.9902137652063292</c:v>
                </c:pt>
                <c:pt idx="292">
                  <c:v>5.9902137652063292</c:v>
                </c:pt>
                <c:pt idx="293">
                  <c:v>5.9902137652063292</c:v>
                </c:pt>
                <c:pt idx="294">
                  <c:v>5.9904640467743988</c:v>
                </c:pt>
                <c:pt idx="295">
                  <c:v>5.9904640467743988</c:v>
                </c:pt>
                <c:pt idx="296">
                  <c:v>5.9904640467743988</c:v>
                </c:pt>
                <c:pt idx="297">
                  <c:v>5.9904640467743988</c:v>
                </c:pt>
                <c:pt idx="298">
                  <c:v>5.9904640467743988</c:v>
                </c:pt>
                <c:pt idx="299">
                  <c:v>5.9907142657172781</c:v>
                </c:pt>
                <c:pt idx="300">
                  <c:v>5.9907142657172781</c:v>
                </c:pt>
                <c:pt idx="301">
                  <c:v>5.9907142657172781</c:v>
                </c:pt>
                <c:pt idx="302">
                  <c:v>5.9907142657172781</c:v>
                </c:pt>
                <c:pt idx="303">
                  <c:v>5.9907142657172781</c:v>
                </c:pt>
                <c:pt idx="304">
                  <c:v>5.9907142657172781</c:v>
                </c:pt>
                <c:pt idx="305">
                  <c:v>5.9907142657172781</c:v>
                </c:pt>
                <c:pt idx="306">
                  <c:v>5.9907142657172781</c:v>
                </c:pt>
                <c:pt idx="307">
                  <c:v>5.9909644220663001</c:v>
                </c:pt>
                <c:pt idx="308">
                  <c:v>5.9909644220663001</c:v>
                </c:pt>
                <c:pt idx="309">
                  <c:v>5.9909644220663001</c:v>
                </c:pt>
                <c:pt idx="310">
                  <c:v>5.9909644220663001</c:v>
                </c:pt>
                <c:pt idx="311">
                  <c:v>5.9909644220663001</c:v>
                </c:pt>
                <c:pt idx="312">
                  <c:v>5.9912145158527723</c:v>
                </c:pt>
                <c:pt idx="313">
                  <c:v>5.9912145158527723</c:v>
                </c:pt>
                <c:pt idx="314">
                  <c:v>5.9912145158527723</c:v>
                </c:pt>
                <c:pt idx="315">
                  <c:v>5.9912145158527723</c:v>
                </c:pt>
                <c:pt idx="316">
                  <c:v>5.9912145158527723</c:v>
                </c:pt>
                <c:pt idx="317">
                  <c:v>5.9912145158527723</c:v>
                </c:pt>
                <c:pt idx="318">
                  <c:v>5.9912145158527723</c:v>
                </c:pt>
                <c:pt idx="319">
                  <c:v>5.9912145158527723</c:v>
                </c:pt>
                <c:pt idx="320">
                  <c:v>5.9912145158527723</c:v>
                </c:pt>
                <c:pt idx="321">
                  <c:v>5.9912145158527723</c:v>
                </c:pt>
                <c:pt idx="322">
                  <c:v>5.9912145158527723</c:v>
                </c:pt>
                <c:pt idx="323">
                  <c:v>5.9914645471079817</c:v>
                </c:pt>
                <c:pt idx="324">
                  <c:v>5.9914645471079817</c:v>
                </c:pt>
                <c:pt idx="325">
                  <c:v>5.9914645471079817</c:v>
                </c:pt>
                <c:pt idx="326">
                  <c:v>5.9914645471079817</c:v>
                </c:pt>
                <c:pt idx="327">
                  <c:v>5.9914645471079817</c:v>
                </c:pt>
                <c:pt idx="328">
                  <c:v>5.9914645471079817</c:v>
                </c:pt>
                <c:pt idx="329">
                  <c:v>5.9914645471079817</c:v>
                </c:pt>
                <c:pt idx="330">
                  <c:v>5.9917145158631895</c:v>
                </c:pt>
                <c:pt idx="331">
                  <c:v>5.9917145158631895</c:v>
                </c:pt>
                <c:pt idx="332">
                  <c:v>5.9917145158631895</c:v>
                </c:pt>
                <c:pt idx="333">
                  <c:v>5.9917145158631895</c:v>
                </c:pt>
                <c:pt idx="334">
                  <c:v>5.9917145158631895</c:v>
                </c:pt>
                <c:pt idx="335">
                  <c:v>5.9919644221496329</c:v>
                </c:pt>
                <c:pt idx="336">
                  <c:v>5.9919644221496329</c:v>
                </c:pt>
                <c:pt idx="337">
                  <c:v>5.9919644221496329</c:v>
                </c:pt>
                <c:pt idx="338">
                  <c:v>5.9919644221496329</c:v>
                </c:pt>
                <c:pt idx="339">
                  <c:v>5.9919644221496329</c:v>
                </c:pt>
                <c:pt idx="340">
                  <c:v>5.9919644221496329</c:v>
                </c:pt>
                <c:pt idx="341">
                  <c:v>5.9919644221496329</c:v>
                </c:pt>
                <c:pt idx="342">
                  <c:v>5.9919644221496329</c:v>
                </c:pt>
                <c:pt idx="343">
                  <c:v>5.9919644221496329</c:v>
                </c:pt>
                <c:pt idx="344">
                  <c:v>5.9919644221496329</c:v>
                </c:pt>
                <c:pt idx="345">
                  <c:v>5.9922142659985278</c:v>
                </c:pt>
                <c:pt idx="346">
                  <c:v>5.9922142659985278</c:v>
                </c:pt>
                <c:pt idx="347">
                  <c:v>5.9922142659985278</c:v>
                </c:pt>
                <c:pt idx="348">
                  <c:v>5.9922142659985278</c:v>
                </c:pt>
                <c:pt idx="349">
                  <c:v>5.9922142659985278</c:v>
                </c:pt>
                <c:pt idx="350">
                  <c:v>5.9922142659985278</c:v>
                </c:pt>
                <c:pt idx="351">
                  <c:v>5.9924640474410653</c:v>
                </c:pt>
                <c:pt idx="352">
                  <c:v>5.9924640474410653</c:v>
                </c:pt>
                <c:pt idx="353">
                  <c:v>5.9924640474410653</c:v>
                </c:pt>
                <c:pt idx="354">
                  <c:v>5.9924640474410653</c:v>
                </c:pt>
                <c:pt idx="355">
                  <c:v>5.9924640474410653</c:v>
                </c:pt>
                <c:pt idx="356">
                  <c:v>5.9924640474410653</c:v>
                </c:pt>
                <c:pt idx="357">
                  <c:v>5.9924640474410653</c:v>
                </c:pt>
                <c:pt idx="358">
                  <c:v>5.9924640474410653</c:v>
                </c:pt>
                <c:pt idx="359">
                  <c:v>5.9924640474410653</c:v>
                </c:pt>
                <c:pt idx="360">
                  <c:v>5.9924640474410653</c:v>
                </c:pt>
                <c:pt idx="361">
                  <c:v>5.9924640474410653</c:v>
                </c:pt>
                <c:pt idx="362">
                  <c:v>5.9924640474410653</c:v>
                </c:pt>
                <c:pt idx="363">
                  <c:v>5.9924640474410653</c:v>
                </c:pt>
                <c:pt idx="364">
                  <c:v>5.9924640474410653</c:v>
                </c:pt>
                <c:pt idx="365">
                  <c:v>5.9924640474410653</c:v>
                </c:pt>
                <c:pt idx="366">
                  <c:v>5.9924640474410653</c:v>
                </c:pt>
                <c:pt idx="367">
                  <c:v>5.9924640474410653</c:v>
                </c:pt>
                <c:pt idx="368">
                  <c:v>5.9924640474410653</c:v>
                </c:pt>
                <c:pt idx="369">
                  <c:v>5.9924640474410653</c:v>
                </c:pt>
                <c:pt idx="370">
                  <c:v>5.9927137665084143</c:v>
                </c:pt>
                <c:pt idx="371">
                  <c:v>5.9927137665084143</c:v>
                </c:pt>
                <c:pt idx="372">
                  <c:v>5.9927137665084143</c:v>
                </c:pt>
                <c:pt idx="373">
                  <c:v>5.9927137665084143</c:v>
                </c:pt>
                <c:pt idx="374">
                  <c:v>5.9927137665084143</c:v>
                </c:pt>
                <c:pt idx="375">
                  <c:v>5.9927137665084143</c:v>
                </c:pt>
                <c:pt idx="376">
                  <c:v>5.9927137665084143</c:v>
                </c:pt>
                <c:pt idx="377">
                  <c:v>5.9927137665084143</c:v>
                </c:pt>
                <c:pt idx="378">
                  <c:v>5.9927137665084143</c:v>
                </c:pt>
                <c:pt idx="379">
                  <c:v>5.9927137665084143</c:v>
                </c:pt>
                <c:pt idx="380">
                  <c:v>5.9927137665084143</c:v>
                </c:pt>
                <c:pt idx="381">
                  <c:v>5.9927137665084143</c:v>
                </c:pt>
                <c:pt idx="382">
                  <c:v>5.9927137665084143</c:v>
                </c:pt>
                <c:pt idx="383">
                  <c:v>5.9927137665084143</c:v>
                </c:pt>
                <c:pt idx="384">
                  <c:v>5.9929634232317177</c:v>
                </c:pt>
                <c:pt idx="385">
                  <c:v>5.9929634232317177</c:v>
                </c:pt>
                <c:pt idx="386">
                  <c:v>5.9929634232317177</c:v>
                </c:pt>
                <c:pt idx="387">
                  <c:v>5.9929634232317177</c:v>
                </c:pt>
                <c:pt idx="388">
                  <c:v>5.9929634232317177</c:v>
                </c:pt>
                <c:pt idx="389">
                  <c:v>5.9929634232317177</c:v>
                </c:pt>
                <c:pt idx="390">
                  <c:v>5.9929634232317177</c:v>
                </c:pt>
                <c:pt idx="391">
                  <c:v>5.9929634232317177</c:v>
                </c:pt>
                <c:pt idx="392">
                  <c:v>5.9929634232317177</c:v>
                </c:pt>
                <c:pt idx="393">
                  <c:v>5.9929634232317177</c:v>
                </c:pt>
                <c:pt idx="394">
                  <c:v>5.9929634232317177</c:v>
                </c:pt>
                <c:pt idx="395">
                  <c:v>5.9929634232317177</c:v>
                </c:pt>
                <c:pt idx="396">
                  <c:v>5.9929634232317177</c:v>
                </c:pt>
                <c:pt idx="397">
                  <c:v>5.9929634232317177</c:v>
                </c:pt>
                <c:pt idx="398">
                  <c:v>5.9929634232317177</c:v>
                </c:pt>
                <c:pt idx="399">
                  <c:v>5.9929634232317177</c:v>
                </c:pt>
                <c:pt idx="400">
                  <c:v>5.9929634232317177</c:v>
                </c:pt>
                <c:pt idx="401">
                  <c:v>5.9932130176420992</c:v>
                </c:pt>
                <c:pt idx="402">
                  <c:v>5.9932130176420992</c:v>
                </c:pt>
                <c:pt idx="403">
                  <c:v>5.9932130176420992</c:v>
                </c:pt>
                <c:pt idx="404">
                  <c:v>5.9932130176420992</c:v>
                </c:pt>
                <c:pt idx="405">
                  <c:v>5.9932130176420992</c:v>
                </c:pt>
                <c:pt idx="406">
                  <c:v>5.9932130176420992</c:v>
                </c:pt>
                <c:pt idx="407">
                  <c:v>5.9932130176420992</c:v>
                </c:pt>
                <c:pt idx="408">
                  <c:v>5.9932130176420992</c:v>
                </c:pt>
                <c:pt idx="409">
                  <c:v>5.9932130176420992</c:v>
                </c:pt>
                <c:pt idx="410">
                  <c:v>5.9932130176420992</c:v>
                </c:pt>
                <c:pt idx="411">
                  <c:v>5.9932130176420992</c:v>
                </c:pt>
                <c:pt idx="412">
                  <c:v>5.9932130176420992</c:v>
                </c:pt>
                <c:pt idx="413">
                  <c:v>5.9932130176420992</c:v>
                </c:pt>
                <c:pt idx="414">
                  <c:v>5.9932130176420992</c:v>
                </c:pt>
                <c:pt idx="415">
                  <c:v>5.9932130176420992</c:v>
                </c:pt>
                <c:pt idx="416">
                  <c:v>5.9934625497706548</c:v>
                </c:pt>
                <c:pt idx="417">
                  <c:v>5.9934625497706548</c:v>
                </c:pt>
                <c:pt idx="418">
                  <c:v>5.9934625497706548</c:v>
                </c:pt>
                <c:pt idx="419">
                  <c:v>5.9934625497706548</c:v>
                </c:pt>
                <c:pt idx="420">
                  <c:v>5.9934625497706548</c:v>
                </c:pt>
                <c:pt idx="421">
                  <c:v>5.9934625497706548</c:v>
                </c:pt>
                <c:pt idx="422">
                  <c:v>5.9934625497706548</c:v>
                </c:pt>
                <c:pt idx="423">
                  <c:v>5.9934625497706548</c:v>
                </c:pt>
                <c:pt idx="424">
                  <c:v>5.9934625497706548</c:v>
                </c:pt>
                <c:pt idx="425">
                  <c:v>5.9934625497706548</c:v>
                </c:pt>
                <c:pt idx="426">
                  <c:v>5.9934625497706548</c:v>
                </c:pt>
                <c:pt idx="427">
                  <c:v>5.9934625497706548</c:v>
                </c:pt>
                <c:pt idx="428">
                  <c:v>5.9934625497706548</c:v>
                </c:pt>
                <c:pt idx="429">
                  <c:v>5.993712019648461</c:v>
                </c:pt>
                <c:pt idx="430">
                  <c:v>5.993712019648461</c:v>
                </c:pt>
                <c:pt idx="431">
                  <c:v>5.993712019648461</c:v>
                </c:pt>
                <c:pt idx="432">
                  <c:v>5.993712019648461</c:v>
                </c:pt>
                <c:pt idx="433">
                  <c:v>5.993712019648461</c:v>
                </c:pt>
                <c:pt idx="434">
                  <c:v>5.993712019648461</c:v>
                </c:pt>
                <c:pt idx="435">
                  <c:v>5.993712019648461</c:v>
                </c:pt>
                <c:pt idx="436">
                  <c:v>5.993712019648461</c:v>
                </c:pt>
                <c:pt idx="437">
                  <c:v>5.993712019648461</c:v>
                </c:pt>
                <c:pt idx="438">
                  <c:v>5.993712019648461</c:v>
                </c:pt>
                <c:pt idx="439">
                  <c:v>5.993712019648461</c:v>
                </c:pt>
                <c:pt idx="440">
                  <c:v>5.993712019648461</c:v>
                </c:pt>
                <c:pt idx="441">
                  <c:v>5.993712019648461</c:v>
                </c:pt>
                <c:pt idx="442">
                  <c:v>5.993712019648461</c:v>
                </c:pt>
                <c:pt idx="443">
                  <c:v>5.993712019648461</c:v>
                </c:pt>
                <c:pt idx="444">
                  <c:v>5.993712019648461</c:v>
                </c:pt>
                <c:pt idx="445">
                  <c:v>5.993712019648461</c:v>
                </c:pt>
                <c:pt idx="446">
                  <c:v>5.9939614273065693</c:v>
                </c:pt>
                <c:pt idx="447">
                  <c:v>5.9939614273065693</c:v>
                </c:pt>
                <c:pt idx="448">
                  <c:v>5.9939614273065693</c:v>
                </c:pt>
                <c:pt idx="449">
                  <c:v>5.9939614273065693</c:v>
                </c:pt>
                <c:pt idx="450">
                  <c:v>5.9939614273065693</c:v>
                </c:pt>
                <c:pt idx="451">
                  <c:v>5.9939614273065693</c:v>
                </c:pt>
                <c:pt idx="452">
                  <c:v>5.9939614273065693</c:v>
                </c:pt>
                <c:pt idx="453">
                  <c:v>5.9939614273065693</c:v>
                </c:pt>
                <c:pt idx="454">
                  <c:v>5.9939614273065693</c:v>
                </c:pt>
                <c:pt idx="455">
                  <c:v>5.9939614273065693</c:v>
                </c:pt>
                <c:pt idx="456">
                  <c:v>5.9939614273065693</c:v>
                </c:pt>
                <c:pt idx="457">
                  <c:v>5.9939614273065693</c:v>
                </c:pt>
                <c:pt idx="458">
                  <c:v>5.9939614273065693</c:v>
                </c:pt>
                <c:pt idx="459">
                  <c:v>5.9942107727760074</c:v>
                </c:pt>
                <c:pt idx="460">
                  <c:v>5.9942107727760074</c:v>
                </c:pt>
                <c:pt idx="461">
                  <c:v>5.9942107727760074</c:v>
                </c:pt>
                <c:pt idx="462">
                  <c:v>5.9942107727760074</c:v>
                </c:pt>
                <c:pt idx="463">
                  <c:v>5.9942107727760074</c:v>
                </c:pt>
                <c:pt idx="464">
                  <c:v>5.9942107727760074</c:v>
                </c:pt>
                <c:pt idx="465">
                  <c:v>5.9942107727760074</c:v>
                </c:pt>
                <c:pt idx="466">
                  <c:v>5.9942107727760074</c:v>
                </c:pt>
                <c:pt idx="467">
                  <c:v>5.9942107727760074</c:v>
                </c:pt>
                <c:pt idx="468">
                  <c:v>5.9942107727760074</c:v>
                </c:pt>
                <c:pt idx="469">
                  <c:v>5.9942107727760074</c:v>
                </c:pt>
                <c:pt idx="470">
                  <c:v>5.9942107727760074</c:v>
                </c:pt>
                <c:pt idx="471">
                  <c:v>5.9942107727760074</c:v>
                </c:pt>
                <c:pt idx="472">
                  <c:v>5.9942107727760074</c:v>
                </c:pt>
                <c:pt idx="473">
                  <c:v>5.9942107727760074</c:v>
                </c:pt>
                <c:pt idx="474">
                  <c:v>5.9942107727760074</c:v>
                </c:pt>
                <c:pt idx="475">
                  <c:v>5.9942107727760074</c:v>
                </c:pt>
                <c:pt idx="476">
                  <c:v>5.9942107727760074</c:v>
                </c:pt>
                <c:pt idx="477">
                  <c:v>5.9942107727760074</c:v>
                </c:pt>
                <c:pt idx="478">
                  <c:v>5.9942107727760074</c:v>
                </c:pt>
                <c:pt idx="479">
                  <c:v>5.9942107727760074</c:v>
                </c:pt>
                <c:pt idx="480">
                  <c:v>5.9942107727760074</c:v>
                </c:pt>
                <c:pt idx="481">
                  <c:v>5.9942107727760074</c:v>
                </c:pt>
                <c:pt idx="482">
                  <c:v>5.9944600560877808</c:v>
                </c:pt>
                <c:pt idx="483">
                  <c:v>5.9944600560877808</c:v>
                </c:pt>
                <c:pt idx="484">
                  <c:v>5.9944600560877808</c:v>
                </c:pt>
                <c:pt idx="485">
                  <c:v>5.9944600560877808</c:v>
                </c:pt>
                <c:pt idx="486">
                  <c:v>5.9944600560877808</c:v>
                </c:pt>
                <c:pt idx="487">
                  <c:v>5.9944600560877808</c:v>
                </c:pt>
                <c:pt idx="488">
                  <c:v>5.9944600560877808</c:v>
                </c:pt>
                <c:pt idx="489">
                  <c:v>5.9944600560877808</c:v>
                </c:pt>
                <c:pt idx="490">
                  <c:v>5.9944600560877808</c:v>
                </c:pt>
                <c:pt idx="491">
                  <c:v>5.9944600560877808</c:v>
                </c:pt>
                <c:pt idx="492">
                  <c:v>5.9944600560877808</c:v>
                </c:pt>
                <c:pt idx="493">
                  <c:v>5.9944600560877808</c:v>
                </c:pt>
                <c:pt idx="494">
                  <c:v>5.9944600560877808</c:v>
                </c:pt>
                <c:pt idx="495">
                  <c:v>5.9944600560877808</c:v>
                </c:pt>
                <c:pt idx="496">
                  <c:v>5.9944600560877808</c:v>
                </c:pt>
                <c:pt idx="497">
                  <c:v>5.9944600560877808</c:v>
                </c:pt>
                <c:pt idx="498">
                  <c:v>5.9944600560877808</c:v>
                </c:pt>
                <c:pt idx="499">
                  <c:v>5.9944600560877808</c:v>
                </c:pt>
                <c:pt idx="500">
                  <c:v>5.9944600560877808</c:v>
                </c:pt>
                <c:pt idx="501">
                  <c:v>5.9944600560877808</c:v>
                </c:pt>
                <c:pt idx="502">
                  <c:v>5.9944600560877808</c:v>
                </c:pt>
                <c:pt idx="503">
                  <c:v>5.9944600560877808</c:v>
                </c:pt>
                <c:pt idx="504">
                  <c:v>5.9944600560877808</c:v>
                </c:pt>
                <c:pt idx="505">
                  <c:v>5.9944600560877808</c:v>
                </c:pt>
                <c:pt idx="506">
                  <c:v>5.9944600560877808</c:v>
                </c:pt>
                <c:pt idx="507">
                  <c:v>5.9944600560877808</c:v>
                </c:pt>
                <c:pt idx="508">
                  <c:v>5.9944600560877808</c:v>
                </c:pt>
                <c:pt idx="509">
                  <c:v>5.9944600560877808</c:v>
                </c:pt>
                <c:pt idx="510">
                  <c:v>5.9947092772728707</c:v>
                </c:pt>
                <c:pt idx="511">
                  <c:v>5.9947092772728707</c:v>
                </c:pt>
                <c:pt idx="512">
                  <c:v>5.9947092772728707</c:v>
                </c:pt>
                <c:pt idx="513">
                  <c:v>5.9947092772728707</c:v>
                </c:pt>
                <c:pt idx="514">
                  <c:v>5.9947092772728707</c:v>
                </c:pt>
                <c:pt idx="515">
                  <c:v>5.9947092772728707</c:v>
                </c:pt>
                <c:pt idx="516">
                  <c:v>5.9947092772728707</c:v>
                </c:pt>
                <c:pt idx="517">
                  <c:v>5.9947092772728707</c:v>
                </c:pt>
                <c:pt idx="518">
                  <c:v>5.9947092772728707</c:v>
                </c:pt>
                <c:pt idx="519">
                  <c:v>5.9947092772728707</c:v>
                </c:pt>
                <c:pt idx="520">
                  <c:v>5.9947092772728707</c:v>
                </c:pt>
                <c:pt idx="521">
                  <c:v>5.9947092772728707</c:v>
                </c:pt>
                <c:pt idx="522">
                  <c:v>5.9947092772728707</c:v>
                </c:pt>
                <c:pt idx="523">
                  <c:v>5.9947092772728707</c:v>
                </c:pt>
                <c:pt idx="524">
                  <c:v>5.9947092772728707</c:v>
                </c:pt>
                <c:pt idx="525">
                  <c:v>5.9947092772728707</c:v>
                </c:pt>
                <c:pt idx="526">
                  <c:v>5.9947092772728707</c:v>
                </c:pt>
                <c:pt idx="527">
                  <c:v>5.9947092772728707</c:v>
                </c:pt>
                <c:pt idx="528">
                  <c:v>5.9947092772728707</c:v>
                </c:pt>
                <c:pt idx="529">
                  <c:v>5.9947092772728707</c:v>
                </c:pt>
                <c:pt idx="530">
                  <c:v>5.9947092772728707</c:v>
                </c:pt>
                <c:pt idx="531">
                  <c:v>5.9947092772728707</c:v>
                </c:pt>
                <c:pt idx="532">
                  <c:v>5.9947092772728707</c:v>
                </c:pt>
                <c:pt idx="533">
                  <c:v>5.9947092772728707</c:v>
                </c:pt>
                <c:pt idx="534">
                  <c:v>5.9947092772728707</c:v>
                </c:pt>
                <c:pt idx="535">
                  <c:v>5.9949584363622375</c:v>
                </c:pt>
                <c:pt idx="536">
                  <c:v>5.9949584363622375</c:v>
                </c:pt>
                <c:pt idx="537">
                  <c:v>5.9949584363622375</c:v>
                </c:pt>
                <c:pt idx="538">
                  <c:v>5.9949584363622375</c:v>
                </c:pt>
                <c:pt idx="539">
                  <c:v>5.9949584363622375</c:v>
                </c:pt>
                <c:pt idx="540">
                  <c:v>5.9949584363622375</c:v>
                </c:pt>
                <c:pt idx="541">
                  <c:v>5.9949584363622375</c:v>
                </c:pt>
                <c:pt idx="542">
                  <c:v>5.9949584363622375</c:v>
                </c:pt>
                <c:pt idx="543">
                  <c:v>5.9949584363622375</c:v>
                </c:pt>
                <c:pt idx="544">
                  <c:v>5.9949584363622375</c:v>
                </c:pt>
                <c:pt idx="545">
                  <c:v>5.9949584363622375</c:v>
                </c:pt>
                <c:pt idx="546">
                  <c:v>5.9949584363622375</c:v>
                </c:pt>
                <c:pt idx="547">
                  <c:v>5.9949584363622375</c:v>
                </c:pt>
                <c:pt idx="548">
                  <c:v>5.9949584363622375</c:v>
                </c:pt>
                <c:pt idx="549">
                  <c:v>5.9949584363622375</c:v>
                </c:pt>
                <c:pt idx="550">
                  <c:v>5.9949584363622375</c:v>
                </c:pt>
                <c:pt idx="551">
                  <c:v>5.9949584363622375</c:v>
                </c:pt>
                <c:pt idx="552">
                  <c:v>5.9949584363622375</c:v>
                </c:pt>
                <c:pt idx="553">
                  <c:v>5.9949584363622375</c:v>
                </c:pt>
                <c:pt idx="554">
                  <c:v>5.9949584363622375</c:v>
                </c:pt>
                <c:pt idx="555">
                  <c:v>5.9949584363622375</c:v>
                </c:pt>
                <c:pt idx="556">
                  <c:v>5.9949584363622375</c:v>
                </c:pt>
                <c:pt idx="557">
                  <c:v>5.9952075333868162</c:v>
                </c:pt>
                <c:pt idx="558">
                  <c:v>5.9952075333868162</c:v>
                </c:pt>
                <c:pt idx="559">
                  <c:v>5.9952075333868162</c:v>
                </c:pt>
                <c:pt idx="560">
                  <c:v>5.9952075333868162</c:v>
                </c:pt>
                <c:pt idx="561">
                  <c:v>5.9952075333868162</c:v>
                </c:pt>
                <c:pt idx="562">
                  <c:v>5.9952075333868162</c:v>
                </c:pt>
                <c:pt idx="563">
                  <c:v>5.9952075333868162</c:v>
                </c:pt>
                <c:pt idx="564">
                  <c:v>5.9952075333868162</c:v>
                </c:pt>
                <c:pt idx="565">
                  <c:v>5.9952075333868162</c:v>
                </c:pt>
                <c:pt idx="566">
                  <c:v>5.9952075333868162</c:v>
                </c:pt>
                <c:pt idx="567">
                  <c:v>5.9952075333868162</c:v>
                </c:pt>
                <c:pt idx="568">
                  <c:v>5.9952075333868162</c:v>
                </c:pt>
                <c:pt idx="569">
                  <c:v>5.9952075333868162</c:v>
                </c:pt>
                <c:pt idx="570">
                  <c:v>5.9952075333868162</c:v>
                </c:pt>
                <c:pt idx="571">
                  <c:v>5.9952075333868162</c:v>
                </c:pt>
                <c:pt idx="572">
                  <c:v>5.9952075333868162</c:v>
                </c:pt>
                <c:pt idx="573">
                  <c:v>5.9952075333868162</c:v>
                </c:pt>
                <c:pt idx="574">
                  <c:v>5.9952075333868162</c:v>
                </c:pt>
                <c:pt idx="575">
                  <c:v>5.9952075333868162</c:v>
                </c:pt>
                <c:pt idx="576">
                  <c:v>5.9952075333868162</c:v>
                </c:pt>
                <c:pt idx="577">
                  <c:v>5.9952075333868162</c:v>
                </c:pt>
                <c:pt idx="578">
                  <c:v>5.9954565683775192</c:v>
                </c:pt>
                <c:pt idx="579">
                  <c:v>5.9954565683775192</c:v>
                </c:pt>
                <c:pt idx="580">
                  <c:v>5.9954565683775192</c:v>
                </c:pt>
                <c:pt idx="581">
                  <c:v>5.9954565683775192</c:v>
                </c:pt>
                <c:pt idx="582">
                  <c:v>5.9954565683775192</c:v>
                </c:pt>
                <c:pt idx="583">
                  <c:v>5.9954565683775192</c:v>
                </c:pt>
                <c:pt idx="584">
                  <c:v>5.9954565683775192</c:v>
                </c:pt>
                <c:pt idx="585">
                  <c:v>5.9954565683775192</c:v>
                </c:pt>
                <c:pt idx="586">
                  <c:v>5.9954565683775192</c:v>
                </c:pt>
                <c:pt idx="587">
                  <c:v>5.9954565683775192</c:v>
                </c:pt>
                <c:pt idx="588">
                  <c:v>5.9954565683775192</c:v>
                </c:pt>
                <c:pt idx="589">
                  <c:v>5.9954565683775192</c:v>
                </c:pt>
                <c:pt idx="590">
                  <c:v>5.9954565683775192</c:v>
                </c:pt>
                <c:pt idx="591">
                  <c:v>5.9954565683775192</c:v>
                </c:pt>
                <c:pt idx="592">
                  <c:v>5.9954565683775192</c:v>
                </c:pt>
                <c:pt idx="593">
                  <c:v>5.9954565683775192</c:v>
                </c:pt>
                <c:pt idx="594">
                  <c:v>5.9954565683775192</c:v>
                </c:pt>
                <c:pt idx="595">
                  <c:v>5.9954565683775192</c:v>
                </c:pt>
                <c:pt idx="596">
                  <c:v>5.9954565683775192</c:v>
                </c:pt>
                <c:pt idx="597">
                  <c:v>5.9954565683775192</c:v>
                </c:pt>
                <c:pt idx="598">
                  <c:v>5.9954565683775192</c:v>
                </c:pt>
                <c:pt idx="599">
                  <c:v>5.9954565683775192</c:v>
                </c:pt>
                <c:pt idx="600">
                  <c:v>5.9954565683775192</c:v>
                </c:pt>
                <c:pt idx="601">
                  <c:v>5.9954565683775192</c:v>
                </c:pt>
                <c:pt idx="602">
                  <c:v>5.9954565683775192</c:v>
                </c:pt>
                <c:pt idx="603">
                  <c:v>5.9957055413652363</c:v>
                </c:pt>
                <c:pt idx="604">
                  <c:v>5.9957055413652363</c:v>
                </c:pt>
                <c:pt idx="605">
                  <c:v>5.9957055413652363</c:v>
                </c:pt>
                <c:pt idx="606">
                  <c:v>5.9957055413652363</c:v>
                </c:pt>
                <c:pt idx="607">
                  <c:v>5.9957055413652363</c:v>
                </c:pt>
                <c:pt idx="608">
                  <c:v>5.9957055413652363</c:v>
                </c:pt>
                <c:pt idx="609">
                  <c:v>5.9957055413652363</c:v>
                </c:pt>
                <c:pt idx="610">
                  <c:v>5.9957055413652363</c:v>
                </c:pt>
                <c:pt idx="611">
                  <c:v>5.9957055413652363</c:v>
                </c:pt>
                <c:pt idx="612">
                  <c:v>5.9957055413652363</c:v>
                </c:pt>
                <c:pt idx="613">
                  <c:v>5.9957055413652363</c:v>
                </c:pt>
                <c:pt idx="614">
                  <c:v>5.9957055413652363</c:v>
                </c:pt>
                <c:pt idx="615">
                  <c:v>5.9957055413652363</c:v>
                </c:pt>
                <c:pt idx="616">
                  <c:v>5.9957055413652363</c:v>
                </c:pt>
                <c:pt idx="617">
                  <c:v>5.9957055413652363</c:v>
                </c:pt>
                <c:pt idx="618">
                  <c:v>5.9957055413652363</c:v>
                </c:pt>
                <c:pt idx="619">
                  <c:v>5.9957055413652363</c:v>
                </c:pt>
                <c:pt idx="620">
                  <c:v>5.9957055413652363</c:v>
                </c:pt>
                <c:pt idx="621">
                  <c:v>5.9957055413652363</c:v>
                </c:pt>
                <c:pt idx="622">
                  <c:v>5.9957055413652363</c:v>
                </c:pt>
                <c:pt idx="623">
                  <c:v>5.9957055413652363</c:v>
                </c:pt>
                <c:pt idx="624">
                  <c:v>5.9957055413652363</c:v>
                </c:pt>
                <c:pt idx="625">
                  <c:v>5.9957055413652363</c:v>
                </c:pt>
                <c:pt idx="626">
                  <c:v>5.9957055413652363</c:v>
                </c:pt>
                <c:pt idx="627">
                  <c:v>5.9957055413652363</c:v>
                </c:pt>
                <c:pt idx="628">
                  <c:v>5.9957055413652363</c:v>
                </c:pt>
                <c:pt idx="629">
                  <c:v>5.9957055413652363</c:v>
                </c:pt>
                <c:pt idx="630">
                  <c:v>5.9957055413652363</c:v>
                </c:pt>
                <c:pt idx="631">
                  <c:v>5.9957055413652363</c:v>
                </c:pt>
                <c:pt idx="632">
                  <c:v>5.9957055413652363</c:v>
                </c:pt>
                <c:pt idx="633">
                  <c:v>5.9957055413652363</c:v>
                </c:pt>
                <c:pt idx="634">
                  <c:v>5.9957055413652363</c:v>
                </c:pt>
                <c:pt idx="635">
                  <c:v>5.9959544523808344</c:v>
                </c:pt>
                <c:pt idx="636">
                  <c:v>5.9959544523808344</c:v>
                </c:pt>
                <c:pt idx="637">
                  <c:v>5.9959544523808344</c:v>
                </c:pt>
                <c:pt idx="638">
                  <c:v>5.9959544523808344</c:v>
                </c:pt>
                <c:pt idx="639">
                  <c:v>5.9959544523808344</c:v>
                </c:pt>
                <c:pt idx="640">
                  <c:v>5.9959544523808344</c:v>
                </c:pt>
                <c:pt idx="641">
                  <c:v>5.9959544523808344</c:v>
                </c:pt>
                <c:pt idx="642">
                  <c:v>5.9959544523808344</c:v>
                </c:pt>
                <c:pt idx="643">
                  <c:v>5.9959544523808344</c:v>
                </c:pt>
                <c:pt idx="644">
                  <c:v>5.9959544523808344</c:v>
                </c:pt>
                <c:pt idx="645">
                  <c:v>5.9959544523808344</c:v>
                </c:pt>
                <c:pt idx="646">
                  <c:v>5.9959544523808344</c:v>
                </c:pt>
                <c:pt idx="647">
                  <c:v>5.9959544523808344</c:v>
                </c:pt>
                <c:pt idx="648">
                  <c:v>5.9959544523808344</c:v>
                </c:pt>
                <c:pt idx="649">
                  <c:v>5.9959544523808344</c:v>
                </c:pt>
                <c:pt idx="650">
                  <c:v>5.9959544523808344</c:v>
                </c:pt>
                <c:pt idx="651">
                  <c:v>5.9959544523808344</c:v>
                </c:pt>
                <c:pt idx="652">
                  <c:v>5.9959544523808344</c:v>
                </c:pt>
                <c:pt idx="653">
                  <c:v>5.9959544523808344</c:v>
                </c:pt>
                <c:pt idx="654">
                  <c:v>5.9959544523808344</c:v>
                </c:pt>
                <c:pt idx="655">
                  <c:v>5.9959544523808344</c:v>
                </c:pt>
                <c:pt idx="656">
                  <c:v>5.9959544523808344</c:v>
                </c:pt>
                <c:pt idx="657">
                  <c:v>5.9959544523808344</c:v>
                </c:pt>
                <c:pt idx="658">
                  <c:v>5.9959544523808344</c:v>
                </c:pt>
                <c:pt idx="659">
                  <c:v>5.9959544523808344</c:v>
                </c:pt>
                <c:pt idx="660">
                  <c:v>5.9959544523808344</c:v>
                </c:pt>
                <c:pt idx="661">
                  <c:v>5.9959544523808344</c:v>
                </c:pt>
                <c:pt idx="662">
                  <c:v>5.9959544523808344</c:v>
                </c:pt>
                <c:pt idx="663">
                  <c:v>5.9959544523808344</c:v>
                </c:pt>
                <c:pt idx="664">
                  <c:v>5.9962033014551555</c:v>
                </c:pt>
                <c:pt idx="665">
                  <c:v>5.9962033014551555</c:v>
                </c:pt>
                <c:pt idx="666">
                  <c:v>5.9962033014551555</c:v>
                </c:pt>
                <c:pt idx="667">
                  <c:v>5.9962033014551555</c:v>
                </c:pt>
                <c:pt idx="668">
                  <c:v>5.9962033014551555</c:v>
                </c:pt>
                <c:pt idx="669">
                  <c:v>5.9962033014551555</c:v>
                </c:pt>
                <c:pt idx="670">
                  <c:v>5.9962033014551555</c:v>
                </c:pt>
                <c:pt idx="671">
                  <c:v>5.9962033014551555</c:v>
                </c:pt>
                <c:pt idx="672">
                  <c:v>5.9962033014551555</c:v>
                </c:pt>
                <c:pt idx="673">
                  <c:v>5.9962033014551555</c:v>
                </c:pt>
                <c:pt idx="674">
                  <c:v>5.9962033014551555</c:v>
                </c:pt>
                <c:pt idx="675">
                  <c:v>5.9962033014551555</c:v>
                </c:pt>
                <c:pt idx="676">
                  <c:v>5.9962033014551555</c:v>
                </c:pt>
                <c:pt idx="677">
                  <c:v>5.9962033014551555</c:v>
                </c:pt>
                <c:pt idx="678">
                  <c:v>5.9962033014551555</c:v>
                </c:pt>
                <c:pt idx="679">
                  <c:v>5.9962033014551555</c:v>
                </c:pt>
                <c:pt idx="680">
                  <c:v>5.9962033014551555</c:v>
                </c:pt>
                <c:pt idx="681">
                  <c:v>5.9962033014551555</c:v>
                </c:pt>
                <c:pt idx="682">
                  <c:v>5.9962033014551555</c:v>
                </c:pt>
                <c:pt idx="683">
                  <c:v>5.9962033014551555</c:v>
                </c:pt>
                <c:pt idx="684">
                  <c:v>5.9962033014551555</c:v>
                </c:pt>
                <c:pt idx="685">
                  <c:v>5.9962033014551555</c:v>
                </c:pt>
                <c:pt idx="686">
                  <c:v>5.9962033014551555</c:v>
                </c:pt>
                <c:pt idx="687">
                  <c:v>5.9962033014551555</c:v>
                </c:pt>
                <c:pt idx="688">
                  <c:v>5.9962033014551555</c:v>
                </c:pt>
                <c:pt idx="689">
                  <c:v>5.9964520886190211</c:v>
                </c:pt>
                <c:pt idx="690">
                  <c:v>5.9964520886190211</c:v>
                </c:pt>
                <c:pt idx="691">
                  <c:v>5.9964520886190211</c:v>
                </c:pt>
                <c:pt idx="692">
                  <c:v>5.9964520886190211</c:v>
                </c:pt>
                <c:pt idx="693">
                  <c:v>5.9964520886190211</c:v>
                </c:pt>
                <c:pt idx="694">
                  <c:v>5.9964520886190211</c:v>
                </c:pt>
                <c:pt idx="695">
                  <c:v>5.9964520886190211</c:v>
                </c:pt>
                <c:pt idx="696">
                  <c:v>5.9964520886190211</c:v>
                </c:pt>
                <c:pt idx="697">
                  <c:v>5.9964520886190211</c:v>
                </c:pt>
                <c:pt idx="698">
                  <c:v>5.9964520886190211</c:v>
                </c:pt>
                <c:pt idx="699">
                  <c:v>5.9964520886190211</c:v>
                </c:pt>
                <c:pt idx="700">
                  <c:v>5.9964520886190211</c:v>
                </c:pt>
                <c:pt idx="701">
                  <c:v>5.9964520886190211</c:v>
                </c:pt>
                <c:pt idx="702">
                  <c:v>5.9964520886190211</c:v>
                </c:pt>
                <c:pt idx="703">
                  <c:v>5.9964520886190211</c:v>
                </c:pt>
                <c:pt idx="704">
                  <c:v>5.9964520886190211</c:v>
                </c:pt>
                <c:pt idx="705">
                  <c:v>5.9964520886190211</c:v>
                </c:pt>
                <c:pt idx="706">
                  <c:v>5.9964520886190211</c:v>
                </c:pt>
                <c:pt idx="707">
                  <c:v>5.9964520886190211</c:v>
                </c:pt>
                <c:pt idx="708">
                  <c:v>5.9967008139032281</c:v>
                </c:pt>
                <c:pt idx="709">
                  <c:v>5.9967008139032281</c:v>
                </c:pt>
                <c:pt idx="710">
                  <c:v>5.9967008139032281</c:v>
                </c:pt>
                <c:pt idx="711">
                  <c:v>5.9967008139032281</c:v>
                </c:pt>
                <c:pt idx="712">
                  <c:v>5.9967008139032281</c:v>
                </c:pt>
                <c:pt idx="713">
                  <c:v>5.9967008139032281</c:v>
                </c:pt>
                <c:pt idx="714">
                  <c:v>5.9967008139032281</c:v>
                </c:pt>
                <c:pt idx="715">
                  <c:v>5.9967008139032281</c:v>
                </c:pt>
                <c:pt idx="716">
                  <c:v>5.9967008139032281</c:v>
                </c:pt>
                <c:pt idx="717">
                  <c:v>5.9967008139032281</c:v>
                </c:pt>
                <c:pt idx="718">
                  <c:v>5.9967008139032281</c:v>
                </c:pt>
                <c:pt idx="719">
                  <c:v>5.9967008139032281</c:v>
                </c:pt>
                <c:pt idx="720">
                  <c:v>5.9967008139032281</c:v>
                </c:pt>
                <c:pt idx="721">
                  <c:v>5.9967008139032281</c:v>
                </c:pt>
                <c:pt idx="722">
                  <c:v>5.9967008139032281</c:v>
                </c:pt>
                <c:pt idx="723">
                  <c:v>5.9967008139032281</c:v>
                </c:pt>
                <c:pt idx="724">
                  <c:v>5.9969494773385517</c:v>
                </c:pt>
                <c:pt idx="725">
                  <c:v>5.9969494773385517</c:v>
                </c:pt>
                <c:pt idx="726">
                  <c:v>5.9969494773385517</c:v>
                </c:pt>
                <c:pt idx="727">
                  <c:v>5.9969494773385517</c:v>
                </c:pt>
                <c:pt idx="728">
                  <c:v>5.9969494773385517</c:v>
                </c:pt>
                <c:pt idx="729">
                  <c:v>5.9969494773385517</c:v>
                </c:pt>
                <c:pt idx="730">
                  <c:v>5.9969494773385517</c:v>
                </c:pt>
                <c:pt idx="731">
                  <c:v>5.9969494773385517</c:v>
                </c:pt>
                <c:pt idx="732">
                  <c:v>5.9969494773385517</c:v>
                </c:pt>
                <c:pt idx="733">
                  <c:v>5.9969494773385517</c:v>
                </c:pt>
                <c:pt idx="734">
                  <c:v>5.9969494773385517</c:v>
                </c:pt>
                <c:pt idx="735">
                  <c:v>5.9969494773385517</c:v>
                </c:pt>
                <c:pt idx="736">
                  <c:v>5.9969494773385517</c:v>
                </c:pt>
                <c:pt idx="737">
                  <c:v>5.9969494773385517</c:v>
                </c:pt>
                <c:pt idx="738">
                  <c:v>5.9969494773385517</c:v>
                </c:pt>
                <c:pt idx="739">
                  <c:v>5.9969494773385517</c:v>
                </c:pt>
                <c:pt idx="740">
                  <c:v>5.9969494773385517</c:v>
                </c:pt>
                <c:pt idx="741">
                  <c:v>5.9971980789557424</c:v>
                </c:pt>
                <c:pt idx="742">
                  <c:v>5.9971980789557424</c:v>
                </c:pt>
                <c:pt idx="743">
                  <c:v>5.9971980789557424</c:v>
                </c:pt>
                <c:pt idx="744">
                  <c:v>5.9971980789557424</c:v>
                </c:pt>
                <c:pt idx="745">
                  <c:v>5.9971980789557424</c:v>
                </c:pt>
                <c:pt idx="746">
                  <c:v>5.9971980789557424</c:v>
                </c:pt>
                <c:pt idx="747">
                  <c:v>5.9971980789557424</c:v>
                </c:pt>
                <c:pt idx="748">
                  <c:v>5.9971980789557424</c:v>
                </c:pt>
                <c:pt idx="749">
                  <c:v>5.9971980789557424</c:v>
                </c:pt>
                <c:pt idx="750">
                  <c:v>5.9971980789557424</c:v>
                </c:pt>
                <c:pt idx="751">
                  <c:v>5.9971980789557424</c:v>
                </c:pt>
                <c:pt idx="752">
                  <c:v>5.9971980789557424</c:v>
                </c:pt>
                <c:pt idx="753">
                  <c:v>5.9971980789557424</c:v>
                </c:pt>
                <c:pt idx="754">
                  <c:v>5.9971980789557424</c:v>
                </c:pt>
                <c:pt idx="755">
                  <c:v>5.9971980789557424</c:v>
                </c:pt>
                <c:pt idx="756">
                  <c:v>5.9971980789557424</c:v>
                </c:pt>
                <c:pt idx="757">
                  <c:v>5.9971980789557424</c:v>
                </c:pt>
                <c:pt idx="758">
                  <c:v>5.9974466187855295</c:v>
                </c:pt>
                <c:pt idx="759">
                  <c:v>5.9974466187855295</c:v>
                </c:pt>
                <c:pt idx="760">
                  <c:v>5.9974466187855295</c:v>
                </c:pt>
                <c:pt idx="761">
                  <c:v>5.9974466187855295</c:v>
                </c:pt>
                <c:pt idx="762">
                  <c:v>5.9974466187855295</c:v>
                </c:pt>
                <c:pt idx="763">
                  <c:v>5.9974466187855295</c:v>
                </c:pt>
                <c:pt idx="764">
                  <c:v>5.9974466187855295</c:v>
                </c:pt>
                <c:pt idx="765">
                  <c:v>5.9974466187855295</c:v>
                </c:pt>
                <c:pt idx="766">
                  <c:v>5.9974466187855295</c:v>
                </c:pt>
                <c:pt idx="767">
                  <c:v>5.9974466187855295</c:v>
                </c:pt>
                <c:pt idx="768">
                  <c:v>5.9974466187855295</c:v>
                </c:pt>
                <c:pt idx="769">
                  <c:v>5.9974466187855295</c:v>
                </c:pt>
                <c:pt idx="770">
                  <c:v>5.9974466187855295</c:v>
                </c:pt>
                <c:pt idx="771">
                  <c:v>5.9974466187855295</c:v>
                </c:pt>
                <c:pt idx="772">
                  <c:v>5.9974466187855295</c:v>
                </c:pt>
                <c:pt idx="773">
                  <c:v>5.9974466187855295</c:v>
                </c:pt>
                <c:pt idx="774">
                  <c:v>5.9974466187855295</c:v>
                </c:pt>
                <c:pt idx="775">
                  <c:v>5.9974466187855295</c:v>
                </c:pt>
                <c:pt idx="776">
                  <c:v>5.9974466187855295</c:v>
                </c:pt>
                <c:pt idx="777">
                  <c:v>5.9974466187855295</c:v>
                </c:pt>
                <c:pt idx="778">
                  <c:v>5.9974466187855295</c:v>
                </c:pt>
                <c:pt idx="779">
                  <c:v>5.9976950968586182</c:v>
                </c:pt>
                <c:pt idx="780">
                  <c:v>5.9976950968586182</c:v>
                </c:pt>
                <c:pt idx="781">
                  <c:v>5.9976950968586182</c:v>
                </c:pt>
                <c:pt idx="782">
                  <c:v>5.9976950968586182</c:v>
                </c:pt>
                <c:pt idx="783">
                  <c:v>5.9976950968586182</c:v>
                </c:pt>
                <c:pt idx="784">
                  <c:v>5.9976950968586182</c:v>
                </c:pt>
                <c:pt idx="785">
                  <c:v>5.9976950968586182</c:v>
                </c:pt>
                <c:pt idx="786">
                  <c:v>5.9976950968586182</c:v>
                </c:pt>
                <c:pt idx="787">
                  <c:v>5.9976950968586182</c:v>
                </c:pt>
                <c:pt idx="788">
                  <c:v>5.9976950968586182</c:v>
                </c:pt>
                <c:pt idx="789">
                  <c:v>5.9976950968586182</c:v>
                </c:pt>
                <c:pt idx="790">
                  <c:v>5.9976950968586182</c:v>
                </c:pt>
                <c:pt idx="791">
                  <c:v>5.9976950968586182</c:v>
                </c:pt>
                <c:pt idx="792">
                  <c:v>5.9976950968586182</c:v>
                </c:pt>
                <c:pt idx="793">
                  <c:v>5.9976950968586182</c:v>
                </c:pt>
                <c:pt idx="794">
                  <c:v>5.9976950968586182</c:v>
                </c:pt>
                <c:pt idx="795">
                  <c:v>5.9979435132056915</c:v>
                </c:pt>
                <c:pt idx="796">
                  <c:v>5.9979435132056915</c:v>
                </c:pt>
                <c:pt idx="797">
                  <c:v>5.9979435132056915</c:v>
                </c:pt>
                <c:pt idx="798">
                  <c:v>5.9979435132056915</c:v>
                </c:pt>
                <c:pt idx="799">
                  <c:v>5.9979435132056915</c:v>
                </c:pt>
                <c:pt idx="800">
                  <c:v>5.9979435132056915</c:v>
                </c:pt>
                <c:pt idx="801">
                  <c:v>5.9979435132056915</c:v>
                </c:pt>
                <c:pt idx="802">
                  <c:v>5.9979435132056915</c:v>
                </c:pt>
                <c:pt idx="803">
                  <c:v>5.9979435132056915</c:v>
                </c:pt>
                <c:pt idx="804">
                  <c:v>5.9979435132056915</c:v>
                </c:pt>
                <c:pt idx="805">
                  <c:v>5.9979435132056915</c:v>
                </c:pt>
                <c:pt idx="806">
                  <c:v>5.9979435132056915</c:v>
                </c:pt>
                <c:pt idx="807">
                  <c:v>5.9979435132056915</c:v>
                </c:pt>
                <c:pt idx="808">
                  <c:v>5.9979435132056915</c:v>
                </c:pt>
                <c:pt idx="809">
                  <c:v>5.9981918678574084</c:v>
                </c:pt>
                <c:pt idx="810">
                  <c:v>5.9981918678574084</c:v>
                </c:pt>
                <c:pt idx="811">
                  <c:v>5.9981918678574084</c:v>
                </c:pt>
                <c:pt idx="812">
                  <c:v>5.9981918678574084</c:v>
                </c:pt>
                <c:pt idx="813">
                  <c:v>5.9981918678574084</c:v>
                </c:pt>
                <c:pt idx="814">
                  <c:v>5.9981918678574084</c:v>
                </c:pt>
                <c:pt idx="815">
                  <c:v>5.9981918678574084</c:v>
                </c:pt>
                <c:pt idx="816">
                  <c:v>5.9981918678574084</c:v>
                </c:pt>
                <c:pt idx="817">
                  <c:v>5.9981918678574084</c:v>
                </c:pt>
                <c:pt idx="818">
                  <c:v>5.9981918678574084</c:v>
                </c:pt>
                <c:pt idx="819">
                  <c:v>5.9981918678574084</c:v>
                </c:pt>
                <c:pt idx="820">
                  <c:v>5.9981918678574084</c:v>
                </c:pt>
                <c:pt idx="821">
                  <c:v>5.9981918678574084</c:v>
                </c:pt>
                <c:pt idx="822">
                  <c:v>5.9981918678574084</c:v>
                </c:pt>
                <c:pt idx="823">
                  <c:v>5.9981918678574084</c:v>
                </c:pt>
                <c:pt idx="824">
                  <c:v>5.9981918678574084</c:v>
                </c:pt>
                <c:pt idx="825">
                  <c:v>5.9984401608444076</c:v>
                </c:pt>
                <c:pt idx="826">
                  <c:v>5.9984401608444076</c:v>
                </c:pt>
                <c:pt idx="827">
                  <c:v>5.9984401608444076</c:v>
                </c:pt>
                <c:pt idx="828">
                  <c:v>5.9984401608444076</c:v>
                </c:pt>
                <c:pt idx="829">
                  <c:v>5.9984401608444076</c:v>
                </c:pt>
                <c:pt idx="830">
                  <c:v>5.9984401608444076</c:v>
                </c:pt>
                <c:pt idx="831">
                  <c:v>5.9984401608444076</c:v>
                </c:pt>
                <c:pt idx="832">
                  <c:v>5.9984401608444076</c:v>
                </c:pt>
                <c:pt idx="833">
                  <c:v>5.9984401608444076</c:v>
                </c:pt>
                <c:pt idx="834">
                  <c:v>5.9984401608444076</c:v>
                </c:pt>
                <c:pt idx="835">
                  <c:v>5.9984401608444076</c:v>
                </c:pt>
                <c:pt idx="836">
                  <c:v>5.9984401608444076</c:v>
                </c:pt>
                <c:pt idx="837">
                  <c:v>5.9984401608444076</c:v>
                </c:pt>
                <c:pt idx="838">
                  <c:v>5.9984401608444076</c:v>
                </c:pt>
                <c:pt idx="839">
                  <c:v>5.9986883921973018</c:v>
                </c:pt>
                <c:pt idx="840">
                  <c:v>5.9986883921973018</c:v>
                </c:pt>
                <c:pt idx="841">
                  <c:v>5.9986883921973018</c:v>
                </c:pt>
                <c:pt idx="842">
                  <c:v>5.9986883921973018</c:v>
                </c:pt>
                <c:pt idx="843">
                  <c:v>5.9986883921973018</c:v>
                </c:pt>
                <c:pt idx="844">
                  <c:v>5.9986883921973018</c:v>
                </c:pt>
                <c:pt idx="845">
                  <c:v>5.9986883921973018</c:v>
                </c:pt>
                <c:pt idx="846">
                  <c:v>5.9986883921973018</c:v>
                </c:pt>
                <c:pt idx="847">
                  <c:v>5.9986883921973018</c:v>
                </c:pt>
                <c:pt idx="848">
                  <c:v>5.9989365619466826</c:v>
                </c:pt>
                <c:pt idx="849">
                  <c:v>5.9989365619466826</c:v>
                </c:pt>
                <c:pt idx="850">
                  <c:v>5.9989365619466826</c:v>
                </c:pt>
                <c:pt idx="851">
                  <c:v>5.9989365619466826</c:v>
                </c:pt>
                <c:pt idx="852">
                  <c:v>5.9989365619466826</c:v>
                </c:pt>
                <c:pt idx="853">
                  <c:v>5.9989365619466826</c:v>
                </c:pt>
                <c:pt idx="854">
                  <c:v>5.9989365619466826</c:v>
                </c:pt>
                <c:pt idx="855">
                  <c:v>5.9989365619466826</c:v>
                </c:pt>
                <c:pt idx="856">
                  <c:v>5.9989365619466826</c:v>
                </c:pt>
                <c:pt idx="857">
                  <c:v>5.9989365619466826</c:v>
                </c:pt>
                <c:pt idx="858">
                  <c:v>5.9989365619466826</c:v>
                </c:pt>
                <c:pt idx="859">
                  <c:v>5.9991846701231202</c:v>
                </c:pt>
                <c:pt idx="860">
                  <c:v>5.9991846701231202</c:v>
                </c:pt>
                <c:pt idx="861">
                  <c:v>5.9991846701231202</c:v>
                </c:pt>
                <c:pt idx="862">
                  <c:v>5.9991846701231202</c:v>
                </c:pt>
                <c:pt idx="863">
                  <c:v>5.9991846701231202</c:v>
                </c:pt>
                <c:pt idx="864">
                  <c:v>5.9991846701231202</c:v>
                </c:pt>
                <c:pt idx="865">
                  <c:v>5.9991846701231202</c:v>
                </c:pt>
                <c:pt idx="866">
                  <c:v>5.9991846701231202</c:v>
                </c:pt>
                <c:pt idx="867">
                  <c:v>5.9991846701231202</c:v>
                </c:pt>
                <c:pt idx="868">
                  <c:v>5.9994327167571591</c:v>
                </c:pt>
                <c:pt idx="869">
                  <c:v>5.9994327167571591</c:v>
                </c:pt>
                <c:pt idx="870">
                  <c:v>5.9994327167571591</c:v>
                </c:pt>
                <c:pt idx="871">
                  <c:v>5.9994327167571591</c:v>
                </c:pt>
                <c:pt idx="872">
                  <c:v>5.9994327167571591</c:v>
                </c:pt>
                <c:pt idx="873">
                  <c:v>5.9994327167571591</c:v>
                </c:pt>
                <c:pt idx="874">
                  <c:v>5.9994327167571591</c:v>
                </c:pt>
                <c:pt idx="875">
                  <c:v>5.9994327167571591</c:v>
                </c:pt>
                <c:pt idx="876">
                  <c:v>5.9994327167571591</c:v>
                </c:pt>
                <c:pt idx="877">
                  <c:v>5.9994327167571591</c:v>
                </c:pt>
                <c:pt idx="878">
                  <c:v>5.9996807018793223</c:v>
                </c:pt>
                <c:pt idx="879">
                  <c:v>5.9996807018793223</c:v>
                </c:pt>
                <c:pt idx="880">
                  <c:v>5.9996807018793223</c:v>
                </c:pt>
                <c:pt idx="881">
                  <c:v>5.9996807018793223</c:v>
                </c:pt>
                <c:pt idx="882">
                  <c:v>5.9996807018793223</c:v>
                </c:pt>
                <c:pt idx="883">
                  <c:v>5.9996807018793223</c:v>
                </c:pt>
                <c:pt idx="884">
                  <c:v>5.9996807018793223</c:v>
                </c:pt>
                <c:pt idx="885">
                  <c:v>5.9996807018793223</c:v>
                </c:pt>
                <c:pt idx="886">
                  <c:v>5.9996807018793223</c:v>
                </c:pt>
                <c:pt idx="887">
                  <c:v>5.9996807018793223</c:v>
                </c:pt>
                <c:pt idx="888">
                  <c:v>5.9996807018793223</c:v>
                </c:pt>
                <c:pt idx="889">
                  <c:v>5.9996807018793223</c:v>
                </c:pt>
                <c:pt idx="890">
                  <c:v>5.999928625520111</c:v>
                </c:pt>
                <c:pt idx="891">
                  <c:v>5.999928625520111</c:v>
                </c:pt>
                <c:pt idx="892">
                  <c:v>5.999928625520111</c:v>
                </c:pt>
                <c:pt idx="893">
                  <c:v>5.999928625520111</c:v>
                </c:pt>
                <c:pt idx="894">
                  <c:v>5.999928625520111</c:v>
                </c:pt>
                <c:pt idx="895">
                  <c:v>5.999928625520111</c:v>
                </c:pt>
                <c:pt idx="896">
                  <c:v>5.999928625520111</c:v>
                </c:pt>
                <c:pt idx="897">
                  <c:v>5.999928625520111</c:v>
                </c:pt>
                <c:pt idx="898">
                  <c:v>6.0001764877100037</c:v>
                </c:pt>
                <c:pt idx="899">
                  <c:v>6.0001764877100037</c:v>
                </c:pt>
                <c:pt idx="900">
                  <c:v>6.0001764877100037</c:v>
                </c:pt>
                <c:pt idx="901">
                  <c:v>6.0001764877100037</c:v>
                </c:pt>
                <c:pt idx="902">
                  <c:v>6.0004242884794543</c:v>
                </c:pt>
                <c:pt idx="903">
                  <c:v>6.0004242884794543</c:v>
                </c:pt>
                <c:pt idx="904">
                  <c:v>6.0004242884794543</c:v>
                </c:pt>
                <c:pt idx="905">
                  <c:v>6.0004242884794543</c:v>
                </c:pt>
                <c:pt idx="906">
                  <c:v>6.0004242884794543</c:v>
                </c:pt>
                <c:pt idx="907">
                  <c:v>6.0004242884794543</c:v>
                </c:pt>
                <c:pt idx="908">
                  <c:v>6.0004242884794543</c:v>
                </c:pt>
                <c:pt idx="909">
                  <c:v>6.0004242884794543</c:v>
                </c:pt>
                <c:pt idx="910">
                  <c:v>6.0004242884794543</c:v>
                </c:pt>
                <c:pt idx="911">
                  <c:v>6.0004242884794543</c:v>
                </c:pt>
                <c:pt idx="912">
                  <c:v>6.0004242884794543</c:v>
                </c:pt>
                <c:pt idx="913">
                  <c:v>6.0004242884794543</c:v>
                </c:pt>
                <c:pt idx="914">
                  <c:v>6.0006720278588954</c:v>
                </c:pt>
                <c:pt idx="915">
                  <c:v>6.0006720278588954</c:v>
                </c:pt>
                <c:pt idx="916">
                  <c:v>6.0006720278588954</c:v>
                </c:pt>
                <c:pt idx="917">
                  <c:v>6.0006720278588954</c:v>
                </c:pt>
                <c:pt idx="918">
                  <c:v>6.0006720278588954</c:v>
                </c:pt>
                <c:pt idx="919">
                  <c:v>6.0006720278588954</c:v>
                </c:pt>
                <c:pt idx="920">
                  <c:v>6.0006720278588954</c:v>
                </c:pt>
                <c:pt idx="921">
                  <c:v>6.0009197058787374</c:v>
                </c:pt>
                <c:pt idx="922">
                  <c:v>6.0009197058787374</c:v>
                </c:pt>
                <c:pt idx="923">
                  <c:v>6.0009197058787374</c:v>
                </c:pt>
                <c:pt idx="924">
                  <c:v>6.0009197058787374</c:v>
                </c:pt>
                <c:pt idx="925">
                  <c:v>6.0009197058787374</c:v>
                </c:pt>
                <c:pt idx="926">
                  <c:v>6.0011673225693674</c:v>
                </c:pt>
                <c:pt idx="927">
                  <c:v>6.0011673225693674</c:v>
                </c:pt>
                <c:pt idx="928">
                  <c:v>6.0011673225693674</c:v>
                </c:pt>
                <c:pt idx="929">
                  <c:v>6.0014148779611505</c:v>
                </c:pt>
                <c:pt idx="930">
                  <c:v>6.0014148779611505</c:v>
                </c:pt>
                <c:pt idx="931">
                  <c:v>6.0014148779611505</c:v>
                </c:pt>
                <c:pt idx="932">
                  <c:v>6.0014148779611505</c:v>
                </c:pt>
                <c:pt idx="933">
                  <c:v>6.0014148779611505</c:v>
                </c:pt>
                <c:pt idx="934">
                  <c:v>6.0014148779611505</c:v>
                </c:pt>
                <c:pt idx="935">
                  <c:v>6.0014148779611505</c:v>
                </c:pt>
                <c:pt idx="936">
                  <c:v>6.0014148779611505</c:v>
                </c:pt>
                <c:pt idx="937">
                  <c:v>6.0014148779611505</c:v>
                </c:pt>
                <c:pt idx="938">
                  <c:v>6.0016623720844278</c:v>
                </c:pt>
                <c:pt idx="939">
                  <c:v>6.0016623720844278</c:v>
                </c:pt>
                <c:pt idx="940">
                  <c:v>6.0016623720844278</c:v>
                </c:pt>
                <c:pt idx="941">
                  <c:v>6.0016623720844278</c:v>
                </c:pt>
                <c:pt idx="942">
                  <c:v>6.0016623720844278</c:v>
                </c:pt>
                <c:pt idx="943">
                  <c:v>6.0016623720844278</c:v>
                </c:pt>
                <c:pt idx="944">
                  <c:v>6.0016623720844278</c:v>
                </c:pt>
                <c:pt idx="945">
                  <c:v>6.0019098049695208</c:v>
                </c:pt>
                <c:pt idx="946">
                  <c:v>6.0019098049695208</c:v>
                </c:pt>
                <c:pt idx="947">
                  <c:v>6.0019098049695208</c:v>
                </c:pt>
                <c:pt idx="948">
                  <c:v>6.0021571766467252</c:v>
                </c:pt>
                <c:pt idx="949">
                  <c:v>6.0021571766467252</c:v>
                </c:pt>
                <c:pt idx="950">
                  <c:v>6.0021571766467252</c:v>
                </c:pt>
                <c:pt idx="951">
                  <c:v>6.0021571766467252</c:v>
                </c:pt>
                <c:pt idx="952">
                  <c:v>6.0021571766467252</c:v>
                </c:pt>
                <c:pt idx="953">
                  <c:v>6.0024044871463165</c:v>
                </c:pt>
                <c:pt idx="954">
                  <c:v>6.0024044871463165</c:v>
                </c:pt>
                <c:pt idx="955">
                  <c:v>6.0024044871463165</c:v>
                </c:pt>
                <c:pt idx="956">
                  <c:v>6.0026517364985468</c:v>
                </c:pt>
                <c:pt idx="957">
                  <c:v>6.0028989247336453</c:v>
                </c:pt>
                <c:pt idx="958">
                  <c:v>6.0028989247336453</c:v>
                </c:pt>
                <c:pt idx="959">
                  <c:v>6.0028989247336453</c:v>
                </c:pt>
                <c:pt idx="960">
                  <c:v>6.0028989247336453</c:v>
                </c:pt>
                <c:pt idx="961">
                  <c:v>6.0031460518818198</c:v>
                </c:pt>
                <c:pt idx="962">
                  <c:v>6.003393117973256</c:v>
                </c:pt>
                <c:pt idx="963">
                  <c:v>6.0036401230381156</c:v>
                </c:pt>
                <c:pt idx="964">
                  <c:v>6.0036401230381156</c:v>
                </c:pt>
                <c:pt idx="965">
                  <c:v>6.0036401230381156</c:v>
                </c:pt>
                <c:pt idx="966">
                  <c:v>6.0036401230381156</c:v>
                </c:pt>
                <c:pt idx="967">
                  <c:v>6.0036401230381156</c:v>
                </c:pt>
                <c:pt idx="968">
                  <c:v>6.0038870671065387</c:v>
                </c:pt>
                <c:pt idx="969">
                  <c:v>6.0038870671065387</c:v>
                </c:pt>
                <c:pt idx="970">
                  <c:v>6.0038870671065387</c:v>
                </c:pt>
                <c:pt idx="971">
                  <c:v>6.0041339502086446</c:v>
                </c:pt>
                <c:pt idx="972">
                  <c:v>6.0041339502086446</c:v>
                </c:pt>
                <c:pt idx="973">
                  <c:v>6.0041339502086446</c:v>
                </c:pt>
                <c:pt idx="974">
                  <c:v>6.0041339502086446</c:v>
                </c:pt>
                <c:pt idx="975">
                  <c:v>6.0043807723745282</c:v>
                </c:pt>
                <c:pt idx="976">
                  <c:v>6.0043807723745282</c:v>
                </c:pt>
                <c:pt idx="977">
                  <c:v>6.0043807723745282</c:v>
                </c:pt>
                <c:pt idx="978">
                  <c:v>6.0043807723745282</c:v>
                </c:pt>
                <c:pt idx="979">
                  <c:v>6.0046275336342632</c:v>
                </c:pt>
                <c:pt idx="980">
                  <c:v>6.0048742340178993</c:v>
                </c:pt>
                <c:pt idx="981">
                  <c:v>6.0051208735554678</c:v>
                </c:pt>
                <c:pt idx="982">
                  <c:v>6.0051208735554678</c:v>
                </c:pt>
                <c:pt idx="983">
                  <c:v>6.0051208735554678</c:v>
                </c:pt>
                <c:pt idx="984">
                  <c:v>6.0053674522769738</c:v>
                </c:pt>
                <c:pt idx="985">
                  <c:v>6.0053674522769738</c:v>
                </c:pt>
                <c:pt idx="986">
                  <c:v>6.0053674522769738</c:v>
                </c:pt>
                <c:pt idx="987">
                  <c:v>6.0053674522769738</c:v>
                </c:pt>
                <c:pt idx="988">
                  <c:v>6.0056139702124014</c:v>
                </c:pt>
                <c:pt idx="989">
                  <c:v>6.0056139702124014</c:v>
                </c:pt>
                <c:pt idx="990">
                  <c:v>6.0056139702124014</c:v>
                </c:pt>
                <c:pt idx="991">
                  <c:v>6.0056139702124014</c:v>
                </c:pt>
                <c:pt idx="992">
                  <c:v>6.0058604273917142</c:v>
                </c:pt>
                <c:pt idx="993">
                  <c:v>6.0061068238448518</c:v>
                </c:pt>
                <c:pt idx="994">
                  <c:v>6.0061068238448518</c:v>
                </c:pt>
                <c:pt idx="995">
                  <c:v>6.0061068238448518</c:v>
                </c:pt>
                <c:pt idx="996">
                  <c:v>6.0063531596017325</c:v>
                </c:pt>
                <c:pt idx="997">
                  <c:v>6.0065994346922524</c:v>
                </c:pt>
                <c:pt idx="998">
                  <c:v>6.0065994346922524</c:v>
                </c:pt>
                <c:pt idx="999">
                  <c:v>6.0107768581403551</c:v>
                </c:pt>
              </c:numCache>
            </c:numRef>
          </c:xVal>
          <c:yVal>
            <c:numRef>
              <c:f>Arkusz1!$H$2:$H$1001</c:f>
              <c:numCache>
                <c:formatCode>General</c:formatCode>
                <c:ptCount val="1000"/>
                <c:pt idx="0">
                  <c:v>-3.6593638419550567</c:v>
                </c:pt>
                <c:pt idx="1">
                  <c:v>-3.4476769565073173</c:v>
                </c:pt>
                <c:pt idx="2">
                  <c:v>-3.412427425567282</c:v>
                </c:pt>
                <c:pt idx="3">
                  <c:v>-3.2363149934978814</c:v>
                </c:pt>
                <c:pt idx="4">
                  <c:v>-3.2011195193471633</c:v>
                </c:pt>
                <c:pt idx="5">
                  <c:v>-3.0955870386177189</c:v>
                </c:pt>
                <c:pt idx="6">
                  <c:v>-3.0604275103109781</c:v>
                </c:pt>
                <c:pt idx="7">
                  <c:v>-3.0252769569955436</c:v>
                </c:pt>
                <c:pt idx="8">
                  <c:v>-3.0252769569955436</c:v>
                </c:pt>
                <c:pt idx="9">
                  <c:v>-3.0252769569955436</c:v>
                </c:pt>
                <c:pt idx="10">
                  <c:v>-2.9550027570191344</c:v>
                </c:pt>
                <c:pt idx="11">
                  <c:v>-2.9550027570191344</c:v>
                </c:pt>
                <c:pt idx="12">
                  <c:v>-2.9198791012068703</c:v>
                </c:pt>
                <c:pt idx="13">
                  <c:v>-2.8847644020836998</c:v>
                </c:pt>
                <c:pt idx="14">
                  <c:v>-2.8496586550827838</c:v>
                </c:pt>
                <c:pt idx="15">
                  <c:v>-2.8496586550827838</c:v>
                </c:pt>
                <c:pt idx="16">
                  <c:v>-2.8145618556407075</c:v>
                </c:pt>
                <c:pt idx="17">
                  <c:v>-2.8145618556407075</c:v>
                </c:pt>
                <c:pt idx="18">
                  <c:v>-2.7794739991978483</c:v>
                </c:pt>
                <c:pt idx="19">
                  <c:v>-2.7093250970871883</c:v>
                </c:pt>
                <c:pt idx="20">
                  <c:v>-2.7093250970871883</c:v>
                </c:pt>
                <c:pt idx="21">
                  <c:v>-2.6742640423171418</c:v>
                </c:pt>
                <c:pt idx="22">
                  <c:v>-2.6742640423171418</c:v>
                </c:pt>
                <c:pt idx="23">
                  <c:v>-2.639211912341576</c:v>
                </c:pt>
                <c:pt idx="24">
                  <c:v>-2.5691344086076762</c:v>
                </c:pt>
                <c:pt idx="25">
                  <c:v>-2.5691344086076762</c:v>
                </c:pt>
                <c:pt idx="26">
                  <c:v>-2.5691344086076762</c:v>
                </c:pt>
                <c:pt idx="27">
                  <c:v>-2.4640849755166032</c:v>
                </c:pt>
                <c:pt idx="28">
                  <c:v>-2.429086299037595</c:v>
                </c:pt>
                <c:pt idx="29">
                  <c:v>-2.429086299037595</c:v>
                </c:pt>
                <c:pt idx="30">
                  <c:v>-2.3940965156285801</c:v>
                </c:pt>
                <c:pt idx="31">
                  <c:v>-2.3940965156285801</c:v>
                </c:pt>
                <c:pt idx="32">
                  <c:v>-2.359115620771274</c:v>
                </c:pt>
                <c:pt idx="33">
                  <c:v>-2.3241436099508173</c:v>
                </c:pt>
                <c:pt idx="34">
                  <c:v>-2.2891804786558976</c:v>
                </c:pt>
                <c:pt idx="35">
                  <c:v>-2.2891804786558976</c:v>
                </c:pt>
                <c:pt idx="36">
                  <c:v>-2.2891804786558976</c:v>
                </c:pt>
                <c:pt idx="37">
                  <c:v>-2.2542262223785032</c:v>
                </c:pt>
                <c:pt idx="38">
                  <c:v>-2.2542262223785032</c:v>
                </c:pt>
                <c:pt idx="39">
                  <c:v>-2.2192808366141712</c:v>
                </c:pt>
                <c:pt idx="40">
                  <c:v>-2.2192808366141712</c:v>
                </c:pt>
                <c:pt idx="41">
                  <c:v>-2.2192808366141712</c:v>
                </c:pt>
                <c:pt idx="42">
                  <c:v>-2.2192808366141712</c:v>
                </c:pt>
                <c:pt idx="43">
                  <c:v>-2.1843443168618619</c:v>
                </c:pt>
                <c:pt idx="44">
                  <c:v>-2.1843443168618619</c:v>
                </c:pt>
                <c:pt idx="45">
                  <c:v>-2.1843443168618619</c:v>
                </c:pt>
                <c:pt idx="46">
                  <c:v>-2.1494166586237164</c:v>
                </c:pt>
                <c:pt idx="47">
                  <c:v>-2.1494166586237164</c:v>
                </c:pt>
                <c:pt idx="48">
                  <c:v>-2.1494166586237164</c:v>
                </c:pt>
                <c:pt idx="49">
                  <c:v>-2.1144978574057882</c:v>
                </c:pt>
                <c:pt idx="50">
                  <c:v>-2.1144978574057882</c:v>
                </c:pt>
                <c:pt idx="51">
                  <c:v>-2.1144978574057882</c:v>
                </c:pt>
                <c:pt idx="52">
                  <c:v>-2.1144978574057882</c:v>
                </c:pt>
                <c:pt idx="53">
                  <c:v>-2.1144978574057882</c:v>
                </c:pt>
                <c:pt idx="54">
                  <c:v>-2.1144978574057882</c:v>
                </c:pt>
                <c:pt idx="55">
                  <c:v>-2.0795879087169449</c:v>
                </c:pt>
                <c:pt idx="56">
                  <c:v>-2.0795879087169449</c:v>
                </c:pt>
                <c:pt idx="57">
                  <c:v>-2.0795879087169449</c:v>
                </c:pt>
                <c:pt idx="58">
                  <c:v>-2.0795879087169449</c:v>
                </c:pt>
                <c:pt idx="59">
                  <c:v>-2.0795879087169449</c:v>
                </c:pt>
                <c:pt idx="60">
                  <c:v>-2.04468680807009</c:v>
                </c:pt>
                <c:pt idx="61">
                  <c:v>-2.0097945509809398</c:v>
                </c:pt>
                <c:pt idx="62">
                  <c:v>-2.0097945509809398</c:v>
                </c:pt>
                <c:pt idx="63">
                  <c:v>-2.0097945509809398</c:v>
                </c:pt>
                <c:pt idx="64">
                  <c:v>-2.0097945509809398</c:v>
                </c:pt>
                <c:pt idx="65">
                  <c:v>-1.9749111329691249</c:v>
                </c:pt>
                <c:pt idx="66">
                  <c:v>-1.9749111329691249</c:v>
                </c:pt>
                <c:pt idx="67">
                  <c:v>-1.9749111329691249</c:v>
                </c:pt>
                <c:pt idx="68">
                  <c:v>-1.9749111329691249</c:v>
                </c:pt>
                <c:pt idx="69">
                  <c:v>-1.9749111329691249</c:v>
                </c:pt>
                <c:pt idx="70">
                  <c:v>-1.9400365495574545</c:v>
                </c:pt>
                <c:pt idx="71">
                  <c:v>-1.9400365495574545</c:v>
                </c:pt>
                <c:pt idx="72">
                  <c:v>-1.9400365495574545</c:v>
                </c:pt>
                <c:pt idx="73">
                  <c:v>-1.9400365495574545</c:v>
                </c:pt>
                <c:pt idx="74">
                  <c:v>-1.9400365495574545</c:v>
                </c:pt>
                <c:pt idx="75">
                  <c:v>-1.9400365495574545</c:v>
                </c:pt>
                <c:pt idx="76">
                  <c:v>-1.9400365495574545</c:v>
                </c:pt>
                <c:pt idx="77">
                  <c:v>-1.9051707962719189</c:v>
                </c:pt>
                <c:pt idx="78">
                  <c:v>-1.9051707962719189</c:v>
                </c:pt>
                <c:pt idx="79">
                  <c:v>-1.9051707962719189</c:v>
                </c:pt>
                <c:pt idx="80">
                  <c:v>-1.9051707962719189</c:v>
                </c:pt>
                <c:pt idx="81">
                  <c:v>-1.8703138686424217</c:v>
                </c:pt>
                <c:pt idx="82">
                  <c:v>-1.8703138686424217</c:v>
                </c:pt>
                <c:pt idx="83">
                  <c:v>-1.8703138686424217</c:v>
                </c:pt>
                <c:pt idx="84">
                  <c:v>-1.8703138686424217</c:v>
                </c:pt>
                <c:pt idx="85">
                  <c:v>-1.8703138686424217</c:v>
                </c:pt>
                <c:pt idx="86">
                  <c:v>-1.8354657622016795</c:v>
                </c:pt>
                <c:pt idx="87">
                  <c:v>-1.8354657622016795</c:v>
                </c:pt>
                <c:pt idx="88">
                  <c:v>-1.8354657622016795</c:v>
                </c:pt>
                <c:pt idx="89">
                  <c:v>-1.8354657622016795</c:v>
                </c:pt>
                <c:pt idx="90">
                  <c:v>-1.7309743253941865</c:v>
                </c:pt>
                <c:pt idx="91">
                  <c:v>-1.6961614591070566</c:v>
                </c:pt>
                <c:pt idx="92">
                  <c:v>-1.6613573917247335</c:v>
                </c:pt>
                <c:pt idx="93">
                  <c:v>-1.6613573917247335</c:v>
                </c:pt>
                <c:pt idx="94">
                  <c:v>-1.6613573917247335</c:v>
                </c:pt>
                <c:pt idx="95">
                  <c:v>-1.6265621188003585</c:v>
                </c:pt>
                <c:pt idx="96">
                  <c:v>-1.5917756358908648</c:v>
                </c:pt>
                <c:pt idx="97">
                  <c:v>-1.5917756358908648</c:v>
                </c:pt>
                <c:pt idx="98">
                  <c:v>-1.5917756358908648</c:v>
                </c:pt>
                <c:pt idx="99">
                  <c:v>-1.556997938555998</c:v>
                </c:pt>
                <c:pt idx="100">
                  <c:v>-1.5222290223592954</c:v>
                </c:pt>
                <c:pt idx="101">
                  <c:v>-1.4527175156509211</c:v>
                </c:pt>
                <c:pt idx="102">
                  <c:v>-1.4179749162827129</c:v>
                </c:pt>
                <c:pt idx="103">
                  <c:v>-1.4179749162827129</c:v>
                </c:pt>
                <c:pt idx="104">
                  <c:v>-1.4179749162827129</c:v>
                </c:pt>
                <c:pt idx="105">
                  <c:v>-1.3832410803399624</c:v>
                </c:pt>
                <c:pt idx="106">
                  <c:v>-1.348516003402596</c:v>
                </c:pt>
                <c:pt idx="107">
                  <c:v>-1.348516003402596</c:v>
                </c:pt>
                <c:pt idx="108">
                  <c:v>-1.348516003402596</c:v>
                </c:pt>
                <c:pt idx="109">
                  <c:v>-1.313799681054209</c:v>
                </c:pt>
                <c:pt idx="110">
                  <c:v>-1.313799681054209</c:v>
                </c:pt>
                <c:pt idx="111">
                  <c:v>-1.313799681054209</c:v>
                </c:pt>
                <c:pt idx="112">
                  <c:v>-1.2790921088816982</c:v>
                </c:pt>
                <c:pt idx="113">
                  <c:v>-1.2443932824753863</c:v>
                </c:pt>
                <c:pt idx="114">
                  <c:v>-1.2443932824753863</c:v>
                </c:pt>
                <c:pt idx="115">
                  <c:v>-1.2443932824753863</c:v>
                </c:pt>
                <c:pt idx="116">
                  <c:v>-1.2443932824753863</c:v>
                </c:pt>
                <c:pt idx="117">
                  <c:v>-1.2443932824753863</c:v>
                </c:pt>
                <c:pt idx="118">
                  <c:v>-1.2097031974284076</c:v>
                </c:pt>
                <c:pt idx="119">
                  <c:v>-1.2097031974284076</c:v>
                </c:pt>
                <c:pt idx="120">
                  <c:v>-1.2097031974284076</c:v>
                </c:pt>
                <c:pt idx="121">
                  <c:v>-1.2097031974284076</c:v>
                </c:pt>
                <c:pt idx="122">
                  <c:v>-1.2097031974284076</c:v>
                </c:pt>
                <c:pt idx="123">
                  <c:v>-1.1750218493379336</c:v>
                </c:pt>
                <c:pt idx="124">
                  <c:v>-1.1750218493379336</c:v>
                </c:pt>
                <c:pt idx="125">
                  <c:v>-1.1750218493379336</c:v>
                </c:pt>
                <c:pt idx="126">
                  <c:v>-1.1750218493379336</c:v>
                </c:pt>
                <c:pt idx="127">
                  <c:v>-1.1750218493379336</c:v>
                </c:pt>
                <c:pt idx="128">
                  <c:v>-1.1403492338040702</c:v>
                </c:pt>
                <c:pt idx="129">
                  <c:v>-1.1403492338040702</c:v>
                </c:pt>
                <c:pt idx="130">
                  <c:v>-1.1403492338040702</c:v>
                </c:pt>
                <c:pt idx="131">
                  <c:v>-1.1403492338040702</c:v>
                </c:pt>
                <c:pt idx="132">
                  <c:v>-1.105685346430348</c:v>
                </c:pt>
                <c:pt idx="133">
                  <c:v>-1.0710301828233559</c:v>
                </c:pt>
                <c:pt idx="134">
                  <c:v>-1.0710301828233559</c:v>
                </c:pt>
                <c:pt idx="135">
                  <c:v>-1.0363837385934733</c:v>
                </c:pt>
                <c:pt idx="136">
                  <c:v>-1.0363837385934733</c:v>
                </c:pt>
                <c:pt idx="137">
                  <c:v>-1.0363837385934733</c:v>
                </c:pt>
                <c:pt idx="138">
                  <c:v>-1.0017460093540158</c:v>
                </c:pt>
                <c:pt idx="139">
                  <c:v>-1.0017460093540158</c:v>
                </c:pt>
                <c:pt idx="140">
                  <c:v>-1.0017460093540158</c:v>
                </c:pt>
                <c:pt idx="141">
                  <c:v>-0.96711699072184465</c:v>
                </c:pt>
                <c:pt idx="142">
                  <c:v>-0.96711699072184465</c:v>
                </c:pt>
                <c:pt idx="143">
                  <c:v>-0.96711699072184465</c:v>
                </c:pt>
                <c:pt idx="144">
                  <c:v>-0.93249667831687999</c:v>
                </c:pt>
                <c:pt idx="145">
                  <c:v>-0.93249667831687999</c:v>
                </c:pt>
                <c:pt idx="146">
                  <c:v>-0.93249667831687999</c:v>
                </c:pt>
                <c:pt idx="147">
                  <c:v>-0.93249667831687999</c:v>
                </c:pt>
                <c:pt idx="148">
                  <c:v>-0.89788506776258781</c:v>
                </c:pt>
                <c:pt idx="149">
                  <c:v>-0.89788506776258781</c:v>
                </c:pt>
                <c:pt idx="150">
                  <c:v>-0.89788506776258781</c:v>
                </c:pt>
                <c:pt idx="151">
                  <c:v>-0.86328215468561464</c:v>
                </c:pt>
                <c:pt idx="152">
                  <c:v>-0.86328215468561464</c:v>
                </c:pt>
                <c:pt idx="153">
                  <c:v>-0.82868793471590874</c:v>
                </c:pt>
                <c:pt idx="154">
                  <c:v>-0.82868793471590874</c:v>
                </c:pt>
                <c:pt idx="155">
                  <c:v>-0.82868793471590874</c:v>
                </c:pt>
                <c:pt idx="156">
                  <c:v>-0.82868793471590874</c:v>
                </c:pt>
                <c:pt idx="157">
                  <c:v>-0.82868793471590874</c:v>
                </c:pt>
                <c:pt idx="158">
                  <c:v>-0.82868793471590874</c:v>
                </c:pt>
                <c:pt idx="159">
                  <c:v>-0.82868793471590874</c:v>
                </c:pt>
                <c:pt idx="160">
                  <c:v>-0.82868793471590874</c:v>
                </c:pt>
                <c:pt idx="161">
                  <c:v>-0.82868793471590874</c:v>
                </c:pt>
                <c:pt idx="162">
                  <c:v>-0.82868793471590874</c:v>
                </c:pt>
                <c:pt idx="163">
                  <c:v>-0.79410240348659866</c:v>
                </c:pt>
                <c:pt idx="164">
                  <c:v>-0.79410240348659866</c:v>
                </c:pt>
                <c:pt idx="165">
                  <c:v>-0.79410240348659866</c:v>
                </c:pt>
                <c:pt idx="166">
                  <c:v>-0.79410240348659866</c:v>
                </c:pt>
                <c:pt idx="167">
                  <c:v>-0.75952555663448196</c:v>
                </c:pt>
                <c:pt idx="168">
                  <c:v>-0.75952555663448196</c:v>
                </c:pt>
                <c:pt idx="169">
                  <c:v>-0.75952555663448196</c:v>
                </c:pt>
                <c:pt idx="170">
                  <c:v>-0.75952555663448196</c:v>
                </c:pt>
                <c:pt idx="171">
                  <c:v>-0.75952555663448196</c:v>
                </c:pt>
                <c:pt idx="172">
                  <c:v>-0.72495738979916902</c:v>
                </c:pt>
                <c:pt idx="173">
                  <c:v>-0.72495738979916902</c:v>
                </c:pt>
                <c:pt idx="174">
                  <c:v>-0.72495738979916902</c:v>
                </c:pt>
                <c:pt idx="175">
                  <c:v>-0.72495738979916902</c:v>
                </c:pt>
                <c:pt idx="176">
                  <c:v>-0.72495738979916902</c:v>
                </c:pt>
                <c:pt idx="177">
                  <c:v>-0.72495738979916902</c:v>
                </c:pt>
                <c:pt idx="178">
                  <c:v>-0.72495738979916902</c:v>
                </c:pt>
                <c:pt idx="179">
                  <c:v>-0.72495738979916902</c:v>
                </c:pt>
                <c:pt idx="180">
                  <c:v>-0.72495738979916902</c:v>
                </c:pt>
                <c:pt idx="181">
                  <c:v>-0.69039789862381729</c:v>
                </c:pt>
                <c:pt idx="182">
                  <c:v>-0.69039789862381729</c:v>
                </c:pt>
                <c:pt idx="183">
                  <c:v>-0.69039789862381729</c:v>
                </c:pt>
                <c:pt idx="184">
                  <c:v>-0.69039789862381729</c:v>
                </c:pt>
                <c:pt idx="185">
                  <c:v>-0.69039789862381729</c:v>
                </c:pt>
                <c:pt idx="186">
                  <c:v>-0.69039789862381729</c:v>
                </c:pt>
                <c:pt idx="187">
                  <c:v>-0.69039789862381729</c:v>
                </c:pt>
                <c:pt idx="188">
                  <c:v>-0.69039789862381729</c:v>
                </c:pt>
                <c:pt idx="189">
                  <c:v>-0.65584707875488624</c:v>
                </c:pt>
                <c:pt idx="190">
                  <c:v>-0.65584707875488624</c:v>
                </c:pt>
                <c:pt idx="191">
                  <c:v>-0.65584707875488624</c:v>
                </c:pt>
                <c:pt idx="192">
                  <c:v>-0.65584707875488624</c:v>
                </c:pt>
                <c:pt idx="193">
                  <c:v>-0.65584707875488624</c:v>
                </c:pt>
                <c:pt idx="194">
                  <c:v>-0.65584707875488624</c:v>
                </c:pt>
                <c:pt idx="195">
                  <c:v>-0.65584707875488624</c:v>
                </c:pt>
                <c:pt idx="196">
                  <c:v>-0.65584707875488624</c:v>
                </c:pt>
                <c:pt idx="197">
                  <c:v>-0.62130492584201535</c:v>
                </c:pt>
                <c:pt idx="198">
                  <c:v>-0.62130492584201535</c:v>
                </c:pt>
                <c:pt idx="199">
                  <c:v>-0.62130492584201535</c:v>
                </c:pt>
                <c:pt idx="200">
                  <c:v>-0.62130492584201535</c:v>
                </c:pt>
                <c:pt idx="201">
                  <c:v>-0.62130492584201535</c:v>
                </c:pt>
                <c:pt idx="202">
                  <c:v>-0.62130492584201535</c:v>
                </c:pt>
                <c:pt idx="203">
                  <c:v>-0.62130492584201535</c:v>
                </c:pt>
                <c:pt idx="204">
                  <c:v>-0.62130492584201535</c:v>
                </c:pt>
                <c:pt idx="205">
                  <c:v>-0.62130492584201535</c:v>
                </c:pt>
                <c:pt idx="206">
                  <c:v>-0.58677143553802402</c:v>
                </c:pt>
                <c:pt idx="207">
                  <c:v>-0.58677143553802402</c:v>
                </c:pt>
                <c:pt idx="208">
                  <c:v>-0.58677143553802402</c:v>
                </c:pt>
                <c:pt idx="209">
                  <c:v>-0.58677143553802402</c:v>
                </c:pt>
                <c:pt idx="210">
                  <c:v>-0.58677143553802402</c:v>
                </c:pt>
                <c:pt idx="211">
                  <c:v>-0.58677143553802402</c:v>
                </c:pt>
                <c:pt idx="212">
                  <c:v>-0.58677143553802402</c:v>
                </c:pt>
                <c:pt idx="213">
                  <c:v>-0.58677143553802402</c:v>
                </c:pt>
                <c:pt idx="214">
                  <c:v>-0.58677143553802402</c:v>
                </c:pt>
                <c:pt idx="215">
                  <c:v>-0.55224660349927857</c:v>
                </c:pt>
                <c:pt idx="216">
                  <c:v>-0.55224660349927857</c:v>
                </c:pt>
                <c:pt idx="217">
                  <c:v>-0.55224660349927857</c:v>
                </c:pt>
                <c:pt idx="218">
                  <c:v>-0.55224660349927857</c:v>
                </c:pt>
                <c:pt idx="219">
                  <c:v>-0.55224660349927857</c:v>
                </c:pt>
                <c:pt idx="220">
                  <c:v>-0.55224660349927857</c:v>
                </c:pt>
                <c:pt idx="221">
                  <c:v>-0.55224660349927857</c:v>
                </c:pt>
                <c:pt idx="222">
                  <c:v>-0.55224660349927857</c:v>
                </c:pt>
                <c:pt idx="223">
                  <c:v>-0.55224660349927857</c:v>
                </c:pt>
                <c:pt idx="224">
                  <c:v>-0.55224660349927857</c:v>
                </c:pt>
                <c:pt idx="225">
                  <c:v>-0.55224660349927857</c:v>
                </c:pt>
                <c:pt idx="226">
                  <c:v>-0.51773042538508018</c:v>
                </c:pt>
                <c:pt idx="227">
                  <c:v>-0.51773042538508018</c:v>
                </c:pt>
                <c:pt idx="228">
                  <c:v>-0.51773042538508018</c:v>
                </c:pt>
                <c:pt idx="229">
                  <c:v>-0.51773042538508018</c:v>
                </c:pt>
                <c:pt idx="230">
                  <c:v>-0.51773042538508018</c:v>
                </c:pt>
                <c:pt idx="231">
                  <c:v>-0.51773042538508018</c:v>
                </c:pt>
                <c:pt idx="232">
                  <c:v>-0.51773042538508018</c:v>
                </c:pt>
                <c:pt idx="233">
                  <c:v>-0.51773042538508018</c:v>
                </c:pt>
                <c:pt idx="234">
                  <c:v>-0.51773042538508018</c:v>
                </c:pt>
                <c:pt idx="235">
                  <c:v>-0.51773042538508018</c:v>
                </c:pt>
                <c:pt idx="236">
                  <c:v>-0.48322289685839981</c:v>
                </c:pt>
                <c:pt idx="237">
                  <c:v>-0.48322289685839981</c:v>
                </c:pt>
                <c:pt idx="238">
                  <c:v>-0.48322289685839981</c:v>
                </c:pt>
                <c:pt idx="239">
                  <c:v>-0.48322289685839981</c:v>
                </c:pt>
                <c:pt idx="240">
                  <c:v>-0.48322289685839981</c:v>
                </c:pt>
                <c:pt idx="241">
                  <c:v>-0.48322289685839981</c:v>
                </c:pt>
                <c:pt idx="242">
                  <c:v>-0.48322289685839981</c:v>
                </c:pt>
                <c:pt idx="243">
                  <c:v>-0.48322289685839981</c:v>
                </c:pt>
                <c:pt idx="244">
                  <c:v>-0.48322289685839981</c:v>
                </c:pt>
                <c:pt idx="245">
                  <c:v>-0.48322289685839981</c:v>
                </c:pt>
                <c:pt idx="246">
                  <c:v>-0.48322289685839981</c:v>
                </c:pt>
                <c:pt idx="247">
                  <c:v>-0.48322289685839981</c:v>
                </c:pt>
                <c:pt idx="248">
                  <c:v>-0.4487240135850209</c:v>
                </c:pt>
                <c:pt idx="249">
                  <c:v>-0.4487240135850209</c:v>
                </c:pt>
                <c:pt idx="250">
                  <c:v>-0.4487240135850209</c:v>
                </c:pt>
                <c:pt idx="251">
                  <c:v>-0.4487240135850209</c:v>
                </c:pt>
                <c:pt idx="252">
                  <c:v>-0.4487240135850209</c:v>
                </c:pt>
                <c:pt idx="253">
                  <c:v>-0.4487240135850209</c:v>
                </c:pt>
                <c:pt idx="254">
                  <c:v>-0.4487240135850209</c:v>
                </c:pt>
                <c:pt idx="255">
                  <c:v>-0.4487240135850209</c:v>
                </c:pt>
                <c:pt idx="256">
                  <c:v>-0.4487240135850209</c:v>
                </c:pt>
                <c:pt idx="257">
                  <c:v>-0.4487240135850209</c:v>
                </c:pt>
                <c:pt idx="258">
                  <c:v>-0.41423377123427391</c:v>
                </c:pt>
                <c:pt idx="259">
                  <c:v>-0.41423377123427391</c:v>
                </c:pt>
                <c:pt idx="260">
                  <c:v>-0.41423377123427391</c:v>
                </c:pt>
                <c:pt idx="261">
                  <c:v>-0.41423377123427391</c:v>
                </c:pt>
                <c:pt idx="262">
                  <c:v>-0.41423377123427391</c:v>
                </c:pt>
                <c:pt idx="263">
                  <c:v>-0.41423377123427391</c:v>
                </c:pt>
                <c:pt idx="264">
                  <c:v>-0.41423377123427391</c:v>
                </c:pt>
                <c:pt idx="265">
                  <c:v>-0.41423377123427391</c:v>
                </c:pt>
                <c:pt idx="266">
                  <c:v>-0.41423377123427391</c:v>
                </c:pt>
                <c:pt idx="267">
                  <c:v>-0.41423377123427391</c:v>
                </c:pt>
                <c:pt idx="268">
                  <c:v>-0.37975216547879154</c:v>
                </c:pt>
                <c:pt idx="269">
                  <c:v>-0.37975216547879154</c:v>
                </c:pt>
                <c:pt idx="270">
                  <c:v>-0.37975216547879154</c:v>
                </c:pt>
                <c:pt idx="271">
                  <c:v>-0.37975216547879154</c:v>
                </c:pt>
                <c:pt idx="272">
                  <c:v>-0.37975216547879154</c:v>
                </c:pt>
                <c:pt idx="273">
                  <c:v>-0.37975216547879154</c:v>
                </c:pt>
                <c:pt idx="274">
                  <c:v>-0.37975216547879154</c:v>
                </c:pt>
                <c:pt idx="275">
                  <c:v>-0.37975216547879154</c:v>
                </c:pt>
                <c:pt idx="276">
                  <c:v>-0.37975216547879154</c:v>
                </c:pt>
                <c:pt idx="277">
                  <c:v>-0.37975216547879154</c:v>
                </c:pt>
                <c:pt idx="278">
                  <c:v>-0.37975216547879154</c:v>
                </c:pt>
                <c:pt idx="279">
                  <c:v>-0.37975216547879154</c:v>
                </c:pt>
                <c:pt idx="280">
                  <c:v>-0.37975216547879154</c:v>
                </c:pt>
                <c:pt idx="281">
                  <c:v>-0.37975216547879154</c:v>
                </c:pt>
                <c:pt idx="282">
                  <c:v>-0.37975216547879154</c:v>
                </c:pt>
                <c:pt idx="283">
                  <c:v>-0.3452791919941417</c:v>
                </c:pt>
                <c:pt idx="284">
                  <c:v>-0.3452791919941417</c:v>
                </c:pt>
                <c:pt idx="285">
                  <c:v>-0.3452791919941417</c:v>
                </c:pt>
                <c:pt idx="286">
                  <c:v>-0.3452791919941417</c:v>
                </c:pt>
                <c:pt idx="287">
                  <c:v>-0.3452791919941417</c:v>
                </c:pt>
                <c:pt idx="288">
                  <c:v>-0.3452791919941417</c:v>
                </c:pt>
                <c:pt idx="289">
                  <c:v>-0.3452791919941417</c:v>
                </c:pt>
                <c:pt idx="290">
                  <c:v>-0.3452791919941417</c:v>
                </c:pt>
                <c:pt idx="291">
                  <c:v>-0.3452791919941417</c:v>
                </c:pt>
                <c:pt idx="292">
                  <c:v>-0.3452791919941417</c:v>
                </c:pt>
                <c:pt idx="293">
                  <c:v>-0.3452791919941417</c:v>
                </c:pt>
                <c:pt idx="294">
                  <c:v>-0.31081484645931684</c:v>
                </c:pt>
                <c:pt idx="295">
                  <c:v>-0.31081484645931684</c:v>
                </c:pt>
                <c:pt idx="296">
                  <c:v>-0.31081484645931684</c:v>
                </c:pt>
                <c:pt idx="297">
                  <c:v>-0.31081484645931684</c:v>
                </c:pt>
                <c:pt idx="298">
                  <c:v>-0.31081484645931684</c:v>
                </c:pt>
                <c:pt idx="299">
                  <c:v>-0.27635912455673406</c:v>
                </c:pt>
                <c:pt idx="300">
                  <c:v>-0.27635912455673406</c:v>
                </c:pt>
                <c:pt idx="301">
                  <c:v>-0.27635912455673406</c:v>
                </c:pt>
                <c:pt idx="302">
                  <c:v>-0.27635912455673406</c:v>
                </c:pt>
                <c:pt idx="303">
                  <c:v>-0.27635912455673406</c:v>
                </c:pt>
                <c:pt idx="304">
                  <c:v>-0.27635912455673406</c:v>
                </c:pt>
                <c:pt idx="305">
                  <c:v>-0.27635912455673406</c:v>
                </c:pt>
                <c:pt idx="306">
                  <c:v>-0.27635912455673406</c:v>
                </c:pt>
                <c:pt idx="307">
                  <c:v>-0.24191202197174552</c:v>
                </c:pt>
                <c:pt idx="308">
                  <c:v>-0.24191202197174552</c:v>
                </c:pt>
                <c:pt idx="309">
                  <c:v>-0.24191202197174552</c:v>
                </c:pt>
                <c:pt idx="310">
                  <c:v>-0.24191202197174552</c:v>
                </c:pt>
                <c:pt idx="311">
                  <c:v>-0.24191202197174552</c:v>
                </c:pt>
                <c:pt idx="312">
                  <c:v>-0.20747353439325042</c:v>
                </c:pt>
                <c:pt idx="313">
                  <c:v>-0.20747353439325042</c:v>
                </c:pt>
                <c:pt idx="314">
                  <c:v>-0.20747353439325042</c:v>
                </c:pt>
                <c:pt idx="315">
                  <c:v>-0.20747353439325042</c:v>
                </c:pt>
                <c:pt idx="316">
                  <c:v>-0.20747353439325042</c:v>
                </c:pt>
                <c:pt idx="317">
                  <c:v>-0.20747353439325042</c:v>
                </c:pt>
                <c:pt idx="318">
                  <c:v>-0.20747353439325042</c:v>
                </c:pt>
                <c:pt idx="319">
                  <c:v>-0.20747353439325042</c:v>
                </c:pt>
                <c:pt idx="320">
                  <c:v>-0.20747353439325042</c:v>
                </c:pt>
                <c:pt idx="321">
                  <c:v>-0.20747353439325042</c:v>
                </c:pt>
                <c:pt idx="322">
                  <c:v>-0.20747353439325042</c:v>
                </c:pt>
                <c:pt idx="323">
                  <c:v>-0.17304365751296086</c:v>
                </c:pt>
                <c:pt idx="324">
                  <c:v>-0.17304365751296086</c:v>
                </c:pt>
                <c:pt idx="325">
                  <c:v>-0.17304365751296086</c:v>
                </c:pt>
                <c:pt idx="326">
                  <c:v>-0.17304365751296086</c:v>
                </c:pt>
                <c:pt idx="327">
                  <c:v>-0.17304365751296086</c:v>
                </c:pt>
                <c:pt idx="328">
                  <c:v>-0.17304365751296086</c:v>
                </c:pt>
                <c:pt idx="329">
                  <c:v>-0.17304365751296086</c:v>
                </c:pt>
                <c:pt idx="330">
                  <c:v>-0.13862238702613575</c:v>
                </c:pt>
                <c:pt idx="331">
                  <c:v>-0.13862238702613575</c:v>
                </c:pt>
                <c:pt idx="332">
                  <c:v>-0.13862238702613575</c:v>
                </c:pt>
                <c:pt idx="333">
                  <c:v>-0.13862238702613575</c:v>
                </c:pt>
                <c:pt idx="334">
                  <c:v>-0.13862238702613575</c:v>
                </c:pt>
                <c:pt idx="335">
                  <c:v>-0.10420971863133625</c:v>
                </c:pt>
                <c:pt idx="336">
                  <c:v>-0.10420971863133625</c:v>
                </c:pt>
                <c:pt idx="337">
                  <c:v>-0.10420971863133625</c:v>
                </c:pt>
                <c:pt idx="338">
                  <c:v>-0.10420971863133625</c:v>
                </c:pt>
                <c:pt idx="339">
                  <c:v>-0.10420971863133625</c:v>
                </c:pt>
                <c:pt idx="340">
                  <c:v>-0.10420971863133625</c:v>
                </c:pt>
                <c:pt idx="341">
                  <c:v>-0.10420971863133625</c:v>
                </c:pt>
                <c:pt idx="342">
                  <c:v>-0.10420971863133625</c:v>
                </c:pt>
                <c:pt idx="343">
                  <c:v>-0.10420971863133625</c:v>
                </c:pt>
                <c:pt idx="344">
                  <c:v>-0.10420971863133625</c:v>
                </c:pt>
                <c:pt idx="345">
                  <c:v>-6.9805648030058801E-2</c:v>
                </c:pt>
                <c:pt idx="346">
                  <c:v>-6.9805648030058801E-2</c:v>
                </c:pt>
                <c:pt idx="347">
                  <c:v>-6.9805648030058801E-2</c:v>
                </c:pt>
                <c:pt idx="348">
                  <c:v>-6.9805648030058801E-2</c:v>
                </c:pt>
                <c:pt idx="349">
                  <c:v>-6.9805648030058801E-2</c:v>
                </c:pt>
                <c:pt idx="350">
                  <c:v>-6.9805648030058801E-2</c:v>
                </c:pt>
                <c:pt idx="351">
                  <c:v>-3.5410170927224371E-2</c:v>
                </c:pt>
                <c:pt idx="352">
                  <c:v>-3.5410170927224371E-2</c:v>
                </c:pt>
                <c:pt idx="353">
                  <c:v>-3.5410170927224371E-2</c:v>
                </c:pt>
                <c:pt idx="354">
                  <c:v>-3.5410170927224371E-2</c:v>
                </c:pt>
                <c:pt idx="355">
                  <c:v>-3.5410170927224371E-2</c:v>
                </c:pt>
                <c:pt idx="356">
                  <c:v>-3.5410170927224371E-2</c:v>
                </c:pt>
                <c:pt idx="357">
                  <c:v>-3.5410170927224371E-2</c:v>
                </c:pt>
                <c:pt idx="358">
                  <c:v>-3.5410170927224371E-2</c:v>
                </c:pt>
                <c:pt idx="359">
                  <c:v>-3.5410170927224371E-2</c:v>
                </c:pt>
                <c:pt idx="360">
                  <c:v>-3.5410170927224371E-2</c:v>
                </c:pt>
                <c:pt idx="361">
                  <c:v>-3.5410170927224371E-2</c:v>
                </c:pt>
                <c:pt idx="362">
                  <c:v>-3.5410170927224371E-2</c:v>
                </c:pt>
                <c:pt idx="363">
                  <c:v>-3.5410170927224371E-2</c:v>
                </c:pt>
                <c:pt idx="364">
                  <c:v>-3.5410170927224371E-2</c:v>
                </c:pt>
                <c:pt idx="365">
                  <c:v>-3.5410170927224371E-2</c:v>
                </c:pt>
                <c:pt idx="366">
                  <c:v>-3.5410170927224371E-2</c:v>
                </c:pt>
                <c:pt idx="367">
                  <c:v>-3.5410170927224371E-2</c:v>
                </c:pt>
                <c:pt idx="368">
                  <c:v>-3.5410170927224371E-2</c:v>
                </c:pt>
                <c:pt idx="369">
                  <c:v>-3.5410170927224371E-2</c:v>
                </c:pt>
                <c:pt idx="370">
                  <c:v>-1.023283030811527E-3</c:v>
                </c:pt>
                <c:pt idx="371">
                  <c:v>-1.023283030811527E-3</c:v>
                </c:pt>
                <c:pt idx="372">
                  <c:v>-1.023283030811527E-3</c:v>
                </c:pt>
                <c:pt idx="373">
                  <c:v>-1.023283030811527E-3</c:v>
                </c:pt>
                <c:pt idx="374">
                  <c:v>-1.023283030811527E-3</c:v>
                </c:pt>
                <c:pt idx="375">
                  <c:v>-1.023283030811527E-3</c:v>
                </c:pt>
                <c:pt idx="376">
                  <c:v>-1.023283030811527E-3</c:v>
                </c:pt>
                <c:pt idx="377">
                  <c:v>-1.023283030811527E-3</c:v>
                </c:pt>
                <c:pt idx="378">
                  <c:v>-1.023283030811527E-3</c:v>
                </c:pt>
                <c:pt idx="379">
                  <c:v>-1.023283030811527E-3</c:v>
                </c:pt>
                <c:pt idx="380">
                  <c:v>-1.023283030811527E-3</c:v>
                </c:pt>
                <c:pt idx="381">
                  <c:v>-1.023283030811527E-3</c:v>
                </c:pt>
                <c:pt idx="382">
                  <c:v>-1.023283030811527E-3</c:v>
                </c:pt>
                <c:pt idx="383">
                  <c:v>-1.023283030811527E-3</c:v>
                </c:pt>
                <c:pt idx="384">
                  <c:v>3.3355019947654337E-2</c:v>
                </c:pt>
                <c:pt idx="385">
                  <c:v>3.3355019947654337E-2</c:v>
                </c:pt>
                <c:pt idx="386">
                  <c:v>3.3355019947654337E-2</c:v>
                </c:pt>
                <c:pt idx="387">
                  <c:v>3.3355019947654337E-2</c:v>
                </c:pt>
                <c:pt idx="388">
                  <c:v>3.3355019947654337E-2</c:v>
                </c:pt>
                <c:pt idx="389">
                  <c:v>3.3355019947654337E-2</c:v>
                </c:pt>
                <c:pt idx="390">
                  <c:v>3.3355019947654337E-2</c:v>
                </c:pt>
                <c:pt idx="391">
                  <c:v>3.3355019947654337E-2</c:v>
                </c:pt>
                <c:pt idx="392">
                  <c:v>3.3355019947654337E-2</c:v>
                </c:pt>
                <c:pt idx="393">
                  <c:v>3.3355019947654337E-2</c:v>
                </c:pt>
                <c:pt idx="394">
                  <c:v>3.3355019947654337E-2</c:v>
                </c:pt>
                <c:pt idx="395">
                  <c:v>3.3355019947654337E-2</c:v>
                </c:pt>
                <c:pt idx="396">
                  <c:v>3.3355019947654337E-2</c:v>
                </c:pt>
                <c:pt idx="397">
                  <c:v>3.3355019947654337E-2</c:v>
                </c:pt>
                <c:pt idx="398">
                  <c:v>3.3355019947654337E-2</c:v>
                </c:pt>
                <c:pt idx="399">
                  <c:v>3.3355019947654337E-2</c:v>
                </c:pt>
                <c:pt idx="400">
                  <c:v>3.3355019947654337E-2</c:v>
                </c:pt>
                <c:pt idx="401">
                  <c:v>6.7724742293957141E-2</c:v>
                </c:pt>
                <c:pt idx="402">
                  <c:v>6.7724742293957141E-2</c:v>
                </c:pt>
                <c:pt idx="403">
                  <c:v>6.7724742293957141E-2</c:v>
                </c:pt>
                <c:pt idx="404">
                  <c:v>6.7724742293957141E-2</c:v>
                </c:pt>
                <c:pt idx="405">
                  <c:v>6.7724742293957141E-2</c:v>
                </c:pt>
                <c:pt idx="406">
                  <c:v>6.7724742293957141E-2</c:v>
                </c:pt>
                <c:pt idx="407">
                  <c:v>6.7724742293957141E-2</c:v>
                </c:pt>
                <c:pt idx="408">
                  <c:v>6.7724742293957141E-2</c:v>
                </c:pt>
                <c:pt idx="409">
                  <c:v>6.7724742293957141E-2</c:v>
                </c:pt>
                <c:pt idx="410">
                  <c:v>6.7724742293957141E-2</c:v>
                </c:pt>
                <c:pt idx="411">
                  <c:v>6.7724742293957141E-2</c:v>
                </c:pt>
                <c:pt idx="412">
                  <c:v>6.7724742293957141E-2</c:v>
                </c:pt>
                <c:pt idx="413">
                  <c:v>6.7724742293957141E-2</c:v>
                </c:pt>
                <c:pt idx="414">
                  <c:v>6.7724742293957141E-2</c:v>
                </c:pt>
                <c:pt idx="415">
                  <c:v>6.7724742293957141E-2</c:v>
                </c:pt>
                <c:pt idx="416">
                  <c:v>0.10208588829008935</c:v>
                </c:pt>
                <c:pt idx="417">
                  <c:v>0.10208588829008935</c:v>
                </c:pt>
                <c:pt idx="418">
                  <c:v>0.10208588829008935</c:v>
                </c:pt>
                <c:pt idx="419">
                  <c:v>0.10208588829008935</c:v>
                </c:pt>
                <c:pt idx="420">
                  <c:v>0.10208588829008935</c:v>
                </c:pt>
                <c:pt idx="421">
                  <c:v>0.10208588829008935</c:v>
                </c:pt>
                <c:pt idx="422">
                  <c:v>0.10208588829008935</c:v>
                </c:pt>
                <c:pt idx="423">
                  <c:v>0.10208588829008935</c:v>
                </c:pt>
                <c:pt idx="424">
                  <c:v>0.10208588829008935</c:v>
                </c:pt>
                <c:pt idx="425">
                  <c:v>0.10208588829008935</c:v>
                </c:pt>
                <c:pt idx="426">
                  <c:v>0.10208588829008935</c:v>
                </c:pt>
                <c:pt idx="427">
                  <c:v>0.10208588829008935</c:v>
                </c:pt>
                <c:pt idx="428">
                  <c:v>0.10208588829008935</c:v>
                </c:pt>
                <c:pt idx="429">
                  <c:v>0.1364384622153528</c:v>
                </c:pt>
                <c:pt idx="430">
                  <c:v>0.1364384622153528</c:v>
                </c:pt>
                <c:pt idx="431">
                  <c:v>0.1364384622153528</c:v>
                </c:pt>
                <c:pt idx="432">
                  <c:v>0.1364384622153528</c:v>
                </c:pt>
                <c:pt idx="433">
                  <c:v>0.1364384622153528</c:v>
                </c:pt>
                <c:pt idx="434">
                  <c:v>0.1364384622153528</c:v>
                </c:pt>
                <c:pt idx="435">
                  <c:v>0.1364384622153528</c:v>
                </c:pt>
                <c:pt idx="436">
                  <c:v>0.1364384622153528</c:v>
                </c:pt>
                <c:pt idx="437">
                  <c:v>0.1364384622153528</c:v>
                </c:pt>
                <c:pt idx="438">
                  <c:v>0.1364384622153528</c:v>
                </c:pt>
                <c:pt idx="439">
                  <c:v>0.1364384622153528</c:v>
                </c:pt>
                <c:pt idx="440">
                  <c:v>0.1364384622153528</c:v>
                </c:pt>
                <c:pt idx="441">
                  <c:v>0.1364384622153528</c:v>
                </c:pt>
                <c:pt idx="442">
                  <c:v>0.1364384622153528</c:v>
                </c:pt>
                <c:pt idx="443">
                  <c:v>0.1364384622153528</c:v>
                </c:pt>
                <c:pt idx="444">
                  <c:v>0.1364384622153528</c:v>
                </c:pt>
                <c:pt idx="445">
                  <c:v>0.1364384622153528</c:v>
                </c:pt>
                <c:pt idx="446">
                  <c:v>0.17078246834562472</c:v>
                </c:pt>
                <c:pt idx="447">
                  <c:v>0.17078246834562472</c:v>
                </c:pt>
                <c:pt idx="448">
                  <c:v>0.17078246834562472</c:v>
                </c:pt>
                <c:pt idx="449">
                  <c:v>0.17078246834562472</c:v>
                </c:pt>
                <c:pt idx="450">
                  <c:v>0.17078246834562472</c:v>
                </c:pt>
                <c:pt idx="451">
                  <c:v>0.17078246834562472</c:v>
                </c:pt>
                <c:pt idx="452">
                  <c:v>0.17078246834562472</c:v>
                </c:pt>
                <c:pt idx="453">
                  <c:v>0.17078246834562472</c:v>
                </c:pt>
                <c:pt idx="454">
                  <c:v>0.17078246834562472</c:v>
                </c:pt>
                <c:pt idx="455">
                  <c:v>0.17078246834562472</c:v>
                </c:pt>
                <c:pt idx="456">
                  <c:v>0.17078246834562472</c:v>
                </c:pt>
                <c:pt idx="457">
                  <c:v>0.17078246834562472</c:v>
                </c:pt>
                <c:pt idx="458">
                  <c:v>0.17078246834562472</c:v>
                </c:pt>
                <c:pt idx="459">
                  <c:v>0.2051179109534802</c:v>
                </c:pt>
                <c:pt idx="460">
                  <c:v>0.2051179109534802</c:v>
                </c:pt>
                <c:pt idx="461">
                  <c:v>0.2051179109534802</c:v>
                </c:pt>
                <c:pt idx="462">
                  <c:v>0.2051179109534802</c:v>
                </c:pt>
                <c:pt idx="463">
                  <c:v>0.2051179109534802</c:v>
                </c:pt>
                <c:pt idx="464">
                  <c:v>0.2051179109534802</c:v>
                </c:pt>
                <c:pt idx="465">
                  <c:v>0.2051179109534802</c:v>
                </c:pt>
                <c:pt idx="466">
                  <c:v>0.2051179109534802</c:v>
                </c:pt>
                <c:pt idx="467">
                  <c:v>0.2051179109534802</c:v>
                </c:pt>
                <c:pt idx="468">
                  <c:v>0.2051179109534802</c:v>
                </c:pt>
                <c:pt idx="469">
                  <c:v>0.2051179109534802</c:v>
                </c:pt>
                <c:pt idx="470">
                  <c:v>0.2051179109534802</c:v>
                </c:pt>
                <c:pt idx="471">
                  <c:v>0.2051179109534802</c:v>
                </c:pt>
                <c:pt idx="472">
                  <c:v>0.2051179109534802</c:v>
                </c:pt>
                <c:pt idx="473">
                  <c:v>0.2051179109534802</c:v>
                </c:pt>
                <c:pt idx="474">
                  <c:v>0.2051179109534802</c:v>
                </c:pt>
                <c:pt idx="475">
                  <c:v>0.2051179109534802</c:v>
                </c:pt>
                <c:pt idx="476">
                  <c:v>0.2051179109534802</c:v>
                </c:pt>
                <c:pt idx="477">
                  <c:v>0.2051179109534802</c:v>
                </c:pt>
                <c:pt idx="478">
                  <c:v>0.2051179109534802</c:v>
                </c:pt>
                <c:pt idx="479">
                  <c:v>0.2051179109534802</c:v>
                </c:pt>
                <c:pt idx="480">
                  <c:v>0.2051179109534802</c:v>
                </c:pt>
                <c:pt idx="481">
                  <c:v>0.2051179109534802</c:v>
                </c:pt>
                <c:pt idx="482">
                  <c:v>0.23944479430843668</c:v>
                </c:pt>
                <c:pt idx="483">
                  <c:v>0.23944479430843668</c:v>
                </c:pt>
                <c:pt idx="484">
                  <c:v>0.23944479430843668</c:v>
                </c:pt>
                <c:pt idx="485">
                  <c:v>0.23944479430843668</c:v>
                </c:pt>
                <c:pt idx="486">
                  <c:v>0.23944479430843668</c:v>
                </c:pt>
                <c:pt idx="487">
                  <c:v>0.23944479430843668</c:v>
                </c:pt>
                <c:pt idx="488">
                  <c:v>0.23944479430843668</c:v>
                </c:pt>
                <c:pt idx="489">
                  <c:v>0.23944479430843668</c:v>
                </c:pt>
                <c:pt idx="490">
                  <c:v>0.23944479430843668</c:v>
                </c:pt>
                <c:pt idx="491">
                  <c:v>0.23944479430843668</c:v>
                </c:pt>
                <c:pt idx="492">
                  <c:v>0.23944479430843668</c:v>
                </c:pt>
                <c:pt idx="493">
                  <c:v>0.23944479430843668</c:v>
                </c:pt>
                <c:pt idx="494">
                  <c:v>0.23944479430843668</c:v>
                </c:pt>
                <c:pt idx="495">
                  <c:v>0.23944479430843668</c:v>
                </c:pt>
                <c:pt idx="496">
                  <c:v>0.23944479430843668</c:v>
                </c:pt>
                <c:pt idx="497">
                  <c:v>0.23944479430843668</c:v>
                </c:pt>
                <c:pt idx="498">
                  <c:v>0.23944479430843668</c:v>
                </c:pt>
                <c:pt idx="499">
                  <c:v>0.23944479430843668</c:v>
                </c:pt>
                <c:pt idx="500">
                  <c:v>0.23944479430843668</c:v>
                </c:pt>
                <c:pt idx="501">
                  <c:v>0.23944479430843668</c:v>
                </c:pt>
                <c:pt idx="502">
                  <c:v>0.23944479430843668</c:v>
                </c:pt>
                <c:pt idx="503">
                  <c:v>0.23944479430843668</c:v>
                </c:pt>
                <c:pt idx="504">
                  <c:v>0.23944479430843668</c:v>
                </c:pt>
                <c:pt idx="505">
                  <c:v>0.23944479430843668</c:v>
                </c:pt>
                <c:pt idx="506">
                  <c:v>0.23944479430843668</c:v>
                </c:pt>
                <c:pt idx="507">
                  <c:v>0.23944479430843668</c:v>
                </c:pt>
                <c:pt idx="508">
                  <c:v>0.23944479430843668</c:v>
                </c:pt>
                <c:pt idx="509">
                  <c:v>0.23944479430843668</c:v>
                </c:pt>
                <c:pt idx="510">
                  <c:v>0.27376312267670944</c:v>
                </c:pt>
                <c:pt idx="511">
                  <c:v>0.27376312267670944</c:v>
                </c:pt>
                <c:pt idx="512">
                  <c:v>0.27376312267670944</c:v>
                </c:pt>
                <c:pt idx="513">
                  <c:v>0.27376312267670944</c:v>
                </c:pt>
                <c:pt idx="514">
                  <c:v>0.27376312267670944</c:v>
                </c:pt>
                <c:pt idx="515">
                  <c:v>0.27376312267670944</c:v>
                </c:pt>
                <c:pt idx="516">
                  <c:v>0.27376312267670944</c:v>
                </c:pt>
                <c:pt idx="517">
                  <c:v>0.27376312267670944</c:v>
                </c:pt>
                <c:pt idx="518">
                  <c:v>0.27376312267670944</c:v>
                </c:pt>
                <c:pt idx="519">
                  <c:v>0.27376312267670944</c:v>
                </c:pt>
                <c:pt idx="520">
                  <c:v>0.27376312267670944</c:v>
                </c:pt>
                <c:pt idx="521">
                  <c:v>0.27376312267670944</c:v>
                </c:pt>
                <c:pt idx="522">
                  <c:v>0.27376312267670944</c:v>
                </c:pt>
                <c:pt idx="523">
                  <c:v>0.27376312267670944</c:v>
                </c:pt>
                <c:pt idx="524">
                  <c:v>0.27376312267670944</c:v>
                </c:pt>
                <c:pt idx="525">
                  <c:v>0.27376312267670944</c:v>
                </c:pt>
                <c:pt idx="526">
                  <c:v>0.27376312267670944</c:v>
                </c:pt>
                <c:pt idx="527">
                  <c:v>0.27376312267670944</c:v>
                </c:pt>
                <c:pt idx="528">
                  <c:v>0.27376312267670944</c:v>
                </c:pt>
                <c:pt idx="529">
                  <c:v>0.27376312267670944</c:v>
                </c:pt>
                <c:pt idx="530">
                  <c:v>0.27376312267670944</c:v>
                </c:pt>
                <c:pt idx="531">
                  <c:v>0.27376312267670944</c:v>
                </c:pt>
                <c:pt idx="532">
                  <c:v>0.27376312267670944</c:v>
                </c:pt>
                <c:pt idx="533">
                  <c:v>0.27376312267670944</c:v>
                </c:pt>
                <c:pt idx="534">
                  <c:v>0.27376312267670944</c:v>
                </c:pt>
                <c:pt idx="535">
                  <c:v>0.30807290032157836</c:v>
                </c:pt>
                <c:pt idx="536">
                  <c:v>0.30807290032157836</c:v>
                </c:pt>
                <c:pt idx="537">
                  <c:v>0.30807290032157836</c:v>
                </c:pt>
                <c:pt idx="538">
                  <c:v>0.30807290032157836</c:v>
                </c:pt>
                <c:pt idx="539">
                  <c:v>0.30807290032157836</c:v>
                </c:pt>
                <c:pt idx="540">
                  <c:v>0.30807290032157836</c:v>
                </c:pt>
                <c:pt idx="541">
                  <c:v>0.30807290032157836</c:v>
                </c:pt>
                <c:pt idx="542">
                  <c:v>0.30807290032157836</c:v>
                </c:pt>
                <c:pt idx="543">
                  <c:v>0.30807290032157836</c:v>
                </c:pt>
                <c:pt idx="544">
                  <c:v>0.30807290032157836</c:v>
                </c:pt>
                <c:pt idx="545">
                  <c:v>0.30807290032157836</c:v>
                </c:pt>
                <c:pt idx="546">
                  <c:v>0.30807290032157836</c:v>
                </c:pt>
                <c:pt idx="547">
                  <c:v>0.30807290032157836</c:v>
                </c:pt>
                <c:pt idx="548">
                  <c:v>0.30807290032157836</c:v>
                </c:pt>
                <c:pt idx="549">
                  <c:v>0.30807290032157836</c:v>
                </c:pt>
                <c:pt idx="550">
                  <c:v>0.30807290032157836</c:v>
                </c:pt>
                <c:pt idx="551">
                  <c:v>0.30807290032157836</c:v>
                </c:pt>
                <c:pt idx="552">
                  <c:v>0.30807290032157836</c:v>
                </c:pt>
                <c:pt idx="553">
                  <c:v>0.30807290032157836</c:v>
                </c:pt>
                <c:pt idx="554">
                  <c:v>0.30807290032157836</c:v>
                </c:pt>
                <c:pt idx="555">
                  <c:v>0.30807290032157836</c:v>
                </c:pt>
                <c:pt idx="556">
                  <c:v>0.30807290032157836</c:v>
                </c:pt>
                <c:pt idx="557">
                  <c:v>0.34237413150289892</c:v>
                </c:pt>
                <c:pt idx="558">
                  <c:v>0.34237413150289892</c:v>
                </c:pt>
                <c:pt idx="559">
                  <c:v>0.34237413150289892</c:v>
                </c:pt>
                <c:pt idx="560">
                  <c:v>0.34237413150289892</c:v>
                </c:pt>
                <c:pt idx="561">
                  <c:v>0.34237413150289892</c:v>
                </c:pt>
                <c:pt idx="562">
                  <c:v>0.34237413150289892</c:v>
                </c:pt>
                <c:pt idx="563">
                  <c:v>0.34237413150289892</c:v>
                </c:pt>
                <c:pt idx="564">
                  <c:v>0.34237413150289892</c:v>
                </c:pt>
                <c:pt idx="565">
                  <c:v>0.34237413150289892</c:v>
                </c:pt>
                <c:pt idx="566">
                  <c:v>0.34237413150289892</c:v>
                </c:pt>
                <c:pt idx="567">
                  <c:v>0.34237413150289892</c:v>
                </c:pt>
                <c:pt idx="568">
                  <c:v>0.34237413150289892</c:v>
                </c:pt>
                <c:pt idx="569">
                  <c:v>0.34237413150289892</c:v>
                </c:pt>
                <c:pt idx="570">
                  <c:v>0.34237413150289892</c:v>
                </c:pt>
                <c:pt idx="571">
                  <c:v>0.34237413150289892</c:v>
                </c:pt>
                <c:pt idx="572">
                  <c:v>0.34237413150289892</c:v>
                </c:pt>
                <c:pt idx="573">
                  <c:v>0.34237413150289892</c:v>
                </c:pt>
                <c:pt idx="574">
                  <c:v>0.34237413150289892</c:v>
                </c:pt>
                <c:pt idx="575">
                  <c:v>0.34237413150289892</c:v>
                </c:pt>
                <c:pt idx="576">
                  <c:v>0.34237413150289892</c:v>
                </c:pt>
                <c:pt idx="577">
                  <c:v>0.34237413150289892</c:v>
                </c:pt>
                <c:pt idx="578">
                  <c:v>0.37666682047734656</c:v>
                </c:pt>
                <c:pt idx="579">
                  <c:v>0.37666682047734656</c:v>
                </c:pt>
                <c:pt idx="580">
                  <c:v>0.37666682047734656</c:v>
                </c:pt>
                <c:pt idx="581">
                  <c:v>0.37666682047734656</c:v>
                </c:pt>
                <c:pt idx="582">
                  <c:v>0.37666682047734656</c:v>
                </c:pt>
                <c:pt idx="583">
                  <c:v>0.37666682047734656</c:v>
                </c:pt>
                <c:pt idx="584">
                  <c:v>0.37666682047734656</c:v>
                </c:pt>
                <c:pt idx="585">
                  <c:v>0.37666682047734656</c:v>
                </c:pt>
                <c:pt idx="586">
                  <c:v>0.37666682047734656</c:v>
                </c:pt>
                <c:pt idx="587">
                  <c:v>0.37666682047734656</c:v>
                </c:pt>
                <c:pt idx="588">
                  <c:v>0.37666682047734656</c:v>
                </c:pt>
                <c:pt idx="589">
                  <c:v>0.37666682047734656</c:v>
                </c:pt>
                <c:pt idx="590">
                  <c:v>0.37666682047734656</c:v>
                </c:pt>
                <c:pt idx="591">
                  <c:v>0.37666682047734656</c:v>
                </c:pt>
                <c:pt idx="592">
                  <c:v>0.37666682047734656</c:v>
                </c:pt>
                <c:pt idx="593">
                  <c:v>0.37666682047734656</c:v>
                </c:pt>
                <c:pt idx="594">
                  <c:v>0.37666682047734656</c:v>
                </c:pt>
                <c:pt idx="595">
                  <c:v>0.37666682047734656</c:v>
                </c:pt>
                <c:pt idx="596">
                  <c:v>0.37666682047734656</c:v>
                </c:pt>
                <c:pt idx="597">
                  <c:v>0.37666682047734656</c:v>
                </c:pt>
                <c:pt idx="598">
                  <c:v>0.37666682047734656</c:v>
                </c:pt>
                <c:pt idx="599">
                  <c:v>0.37666682047734656</c:v>
                </c:pt>
                <c:pt idx="600">
                  <c:v>0.37666682047734656</c:v>
                </c:pt>
                <c:pt idx="601">
                  <c:v>0.37666682047734656</c:v>
                </c:pt>
                <c:pt idx="602">
                  <c:v>0.37666682047734656</c:v>
                </c:pt>
                <c:pt idx="603">
                  <c:v>0.41095097149853932</c:v>
                </c:pt>
                <c:pt idx="604">
                  <c:v>0.41095097149853932</c:v>
                </c:pt>
                <c:pt idx="605">
                  <c:v>0.41095097149853932</c:v>
                </c:pt>
                <c:pt idx="606">
                  <c:v>0.41095097149853932</c:v>
                </c:pt>
                <c:pt idx="607">
                  <c:v>0.41095097149853932</c:v>
                </c:pt>
                <c:pt idx="608">
                  <c:v>0.41095097149853932</c:v>
                </c:pt>
                <c:pt idx="609">
                  <c:v>0.41095097149853932</c:v>
                </c:pt>
                <c:pt idx="610">
                  <c:v>0.41095097149853932</c:v>
                </c:pt>
                <c:pt idx="611">
                  <c:v>0.41095097149853932</c:v>
                </c:pt>
                <c:pt idx="612">
                  <c:v>0.41095097149853932</c:v>
                </c:pt>
                <c:pt idx="613">
                  <c:v>0.41095097149853932</c:v>
                </c:pt>
                <c:pt idx="614">
                  <c:v>0.41095097149853932</c:v>
                </c:pt>
                <c:pt idx="615">
                  <c:v>0.41095097149853932</c:v>
                </c:pt>
                <c:pt idx="616">
                  <c:v>0.41095097149853932</c:v>
                </c:pt>
                <c:pt idx="617">
                  <c:v>0.41095097149853932</c:v>
                </c:pt>
                <c:pt idx="618">
                  <c:v>0.41095097149853932</c:v>
                </c:pt>
                <c:pt idx="619">
                  <c:v>0.41095097149853932</c:v>
                </c:pt>
                <c:pt idx="620">
                  <c:v>0.41095097149853932</c:v>
                </c:pt>
                <c:pt idx="621">
                  <c:v>0.41095097149853932</c:v>
                </c:pt>
                <c:pt idx="622">
                  <c:v>0.41095097149853932</c:v>
                </c:pt>
                <c:pt idx="623">
                  <c:v>0.41095097149853932</c:v>
                </c:pt>
                <c:pt idx="624">
                  <c:v>0.41095097149853932</c:v>
                </c:pt>
                <c:pt idx="625">
                  <c:v>0.41095097149853932</c:v>
                </c:pt>
                <c:pt idx="626">
                  <c:v>0.41095097149853932</c:v>
                </c:pt>
                <c:pt idx="627">
                  <c:v>0.41095097149853932</c:v>
                </c:pt>
                <c:pt idx="628">
                  <c:v>0.41095097149853932</c:v>
                </c:pt>
                <c:pt idx="629">
                  <c:v>0.41095097149853932</c:v>
                </c:pt>
                <c:pt idx="630">
                  <c:v>0.41095097149853932</c:v>
                </c:pt>
                <c:pt idx="631">
                  <c:v>0.41095097149853932</c:v>
                </c:pt>
                <c:pt idx="632">
                  <c:v>0.41095097149853932</c:v>
                </c:pt>
                <c:pt idx="633">
                  <c:v>0.41095097149853932</c:v>
                </c:pt>
                <c:pt idx="634">
                  <c:v>0.41095097149853932</c:v>
                </c:pt>
                <c:pt idx="635">
                  <c:v>0.44522658881691507</c:v>
                </c:pt>
                <c:pt idx="636">
                  <c:v>0.44522658881691507</c:v>
                </c:pt>
                <c:pt idx="637">
                  <c:v>0.44522658881691507</c:v>
                </c:pt>
                <c:pt idx="638">
                  <c:v>0.44522658881691507</c:v>
                </c:pt>
                <c:pt idx="639">
                  <c:v>0.44522658881691507</c:v>
                </c:pt>
                <c:pt idx="640">
                  <c:v>0.44522658881691507</c:v>
                </c:pt>
                <c:pt idx="641">
                  <c:v>0.44522658881691507</c:v>
                </c:pt>
                <c:pt idx="642">
                  <c:v>0.44522658881691507</c:v>
                </c:pt>
                <c:pt idx="643">
                  <c:v>0.44522658881691507</c:v>
                </c:pt>
                <c:pt idx="644">
                  <c:v>0.44522658881691507</c:v>
                </c:pt>
                <c:pt idx="645">
                  <c:v>0.44522658881691507</c:v>
                </c:pt>
                <c:pt idx="646">
                  <c:v>0.44522658881691507</c:v>
                </c:pt>
                <c:pt idx="647">
                  <c:v>0.44522658881691507</c:v>
                </c:pt>
                <c:pt idx="648">
                  <c:v>0.44522658881691507</c:v>
                </c:pt>
                <c:pt idx="649">
                  <c:v>0.44522658881691507</c:v>
                </c:pt>
                <c:pt idx="650">
                  <c:v>0.44522658881691507</c:v>
                </c:pt>
                <c:pt idx="651">
                  <c:v>0.44522658881691507</c:v>
                </c:pt>
                <c:pt idx="652">
                  <c:v>0.44522658881691507</c:v>
                </c:pt>
                <c:pt idx="653">
                  <c:v>0.44522658881691507</c:v>
                </c:pt>
                <c:pt idx="654">
                  <c:v>0.44522658881691507</c:v>
                </c:pt>
                <c:pt idx="655">
                  <c:v>0.44522658881691507</c:v>
                </c:pt>
                <c:pt idx="656">
                  <c:v>0.44522658881691507</c:v>
                </c:pt>
                <c:pt idx="657">
                  <c:v>0.44522658881691507</c:v>
                </c:pt>
                <c:pt idx="658">
                  <c:v>0.44522658881691507</c:v>
                </c:pt>
                <c:pt idx="659">
                  <c:v>0.44522658881691507</c:v>
                </c:pt>
                <c:pt idx="660">
                  <c:v>0.44522658881691507</c:v>
                </c:pt>
                <c:pt idx="661">
                  <c:v>0.44522658881691507</c:v>
                </c:pt>
                <c:pt idx="662">
                  <c:v>0.44522658881691507</c:v>
                </c:pt>
                <c:pt idx="663">
                  <c:v>0.44522658881691507</c:v>
                </c:pt>
                <c:pt idx="664">
                  <c:v>0.47949367667948739</c:v>
                </c:pt>
                <c:pt idx="665">
                  <c:v>0.47949367667948739</c:v>
                </c:pt>
                <c:pt idx="666">
                  <c:v>0.47949367667948739</c:v>
                </c:pt>
                <c:pt idx="667">
                  <c:v>0.47949367667948739</c:v>
                </c:pt>
                <c:pt idx="668">
                  <c:v>0.47949367667948739</c:v>
                </c:pt>
                <c:pt idx="669">
                  <c:v>0.47949367667948739</c:v>
                </c:pt>
                <c:pt idx="670">
                  <c:v>0.47949367667948739</c:v>
                </c:pt>
                <c:pt idx="671">
                  <c:v>0.47949367667948739</c:v>
                </c:pt>
                <c:pt idx="672">
                  <c:v>0.47949367667948739</c:v>
                </c:pt>
                <c:pt idx="673">
                  <c:v>0.47949367667948739</c:v>
                </c:pt>
                <c:pt idx="674">
                  <c:v>0.47949367667948739</c:v>
                </c:pt>
                <c:pt idx="675">
                  <c:v>0.47949367667948739</c:v>
                </c:pt>
                <c:pt idx="676">
                  <c:v>0.47949367667948739</c:v>
                </c:pt>
                <c:pt idx="677">
                  <c:v>0.47949367667948739</c:v>
                </c:pt>
                <c:pt idx="678">
                  <c:v>0.47949367667948739</c:v>
                </c:pt>
                <c:pt idx="679">
                  <c:v>0.47949367667948739</c:v>
                </c:pt>
                <c:pt idx="680">
                  <c:v>0.47949367667948739</c:v>
                </c:pt>
                <c:pt idx="681">
                  <c:v>0.47949367667948739</c:v>
                </c:pt>
                <c:pt idx="682">
                  <c:v>0.47949367667948739</c:v>
                </c:pt>
                <c:pt idx="683">
                  <c:v>0.47949367667948739</c:v>
                </c:pt>
                <c:pt idx="684">
                  <c:v>0.47949367667948739</c:v>
                </c:pt>
                <c:pt idx="685">
                  <c:v>0.47949367667948739</c:v>
                </c:pt>
                <c:pt idx="686">
                  <c:v>0.47949367667948739</c:v>
                </c:pt>
                <c:pt idx="687">
                  <c:v>0.47949367667948739</c:v>
                </c:pt>
                <c:pt idx="688">
                  <c:v>0.47949367667948739</c:v>
                </c:pt>
                <c:pt idx="689">
                  <c:v>0.51375223933045666</c:v>
                </c:pt>
                <c:pt idx="690">
                  <c:v>0.51375223933045666</c:v>
                </c:pt>
                <c:pt idx="691">
                  <c:v>0.51375223933045666</c:v>
                </c:pt>
                <c:pt idx="692">
                  <c:v>0.51375223933045666</c:v>
                </c:pt>
                <c:pt idx="693">
                  <c:v>0.51375223933045666</c:v>
                </c:pt>
                <c:pt idx="694">
                  <c:v>0.51375223933045666</c:v>
                </c:pt>
                <c:pt idx="695">
                  <c:v>0.51375223933045666</c:v>
                </c:pt>
                <c:pt idx="696">
                  <c:v>0.51375223933045666</c:v>
                </c:pt>
                <c:pt idx="697">
                  <c:v>0.51375223933045666</c:v>
                </c:pt>
                <c:pt idx="698">
                  <c:v>0.51375223933045666</c:v>
                </c:pt>
                <c:pt idx="699">
                  <c:v>0.51375223933045666</c:v>
                </c:pt>
                <c:pt idx="700">
                  <c:v>0.51375223933045666</c:v>
                </c:pt>
                <c:pt idx="701">
                  <c:v>0.51375223933045666</c:v>
                </c:pt>
                <c:pt idx="702">
                  <c:v>0.51375223933045666</c:v>
                </c:pt>
                <c:pt idx="703">
                  <c:v>0.51375223933045666</c:v>
                </c:pt>
                <c:pt idx="704">
                  <c:v>0.51375223933045666</c:v>
                </c:pt>
                <c:pt idx="705">
                  <c:v>0.51375223933045666</c:v>
                </c:pt>
                <c:pt idx="706">
                  <c:v>0.51375223933045666</c:v>
                </c:pt>
                <c:pt idx="707">
                  <c:v>0.51375223933045666</c:v>
                </c:pt>
                <c:pt idx="708">
                  <c:v>0.548002281010599</c:v>
                </c:pt>
                <c:pt idx="709">
                  <c:v>0.548002281010599</c:v>
                </c:pt>
                <c:pt idx="710">
                  <c:v>0.548002281010599</c:v>
                </c:pt>
                <c:pt idx="711">
                  <c:v>0.548002281010599</c:v>
                </c:pt>
                <c:pt idx="712">
                  <c:v>0.548002281010599</c:v>
                </c:pt>
                <c:pt idx="713">
                  <c:v>0.548002281010599</c:v>
                </c:pt>
                <c:pt idx="714">
                  <c:v>0.548002281010599</c:v>
                </c:pt>
                <c:pt idx="715">
                  <c:v>0.548002281010599</c:v>
                </c:pt>
                <c:pt idx="716">
                  <c:v>0.548002281010599</c:v>
                </c:pt>
                <c:pt idx="717">
                  <c:v>0.548002281010599</c:v>
                </c:pt>
                <c:pt idx="718">
                  <c:v>0.548002281010599</c:v>
                </c:pt>
                <c:pt idx="719">
                  <c:v>0.548002281010599</c:v>
                </c:pt>
                <c:pt idx="720">
                  <c:v>0.548002281010599</c:v>
                </c:pt>
                <c:pt idx="721">
                  <c:v>0.548002281010599</c:v>
                </c:pt>
                <c:pt idx="722">
                  <c:v>0.548002281010599</c:v>
                </c:pt>
                <c:pt idx="723">
                  <c:v>0.548002281010599</c:v>
                </c:pt>
                <c:pt idx="724">
                  <c:v>0.58224380595775493</c:v>
                </c:pt>
                <c:pt idx="725">
                  <c:v>0.58224380595775493</c:v>
                </c:pt>
                <c:pt idx="726">
                  <c:v>0.58224380595775493</c:v>
                </c:pt>
                <c:pt idx="727">
                  <c:v>0.58224380595775493</c:v>
                </c:pt>
                <c:pt idx="728">
                  <c:v>0.58224380595775493</c:v>
                </c:pt>
                <c:pt idx="729">
                  <c:v>0.58224380595775493</c:v>
                </c:pt>
                <c:pt idx="730">
                  <c:v>0.58224380595775493</c:v>
                </c:pt>
                <c:pt idx="731">
                  <c:v>0.58224380595775493</c:v>
                </c:pt>
                <c:pt idx="732">
                  <c:v>0.58224380595775493</c:v>
                </c:pt>
                <c:pt idx="733">
                  <c:v>0.58224380595775493</c:v>
                </c:pt>
                <c:pt idx="734">
                  <c:v>0.58224380595775493</c:v>
                </c:pt>
                <c:pt idx="735">
                  <c:v>0.58224380595775493</c:v>
                </c:pt>
                <c:pt idx="736">
                  <c:v>0.58224380595775493</c:v>
                </c:pt>
                <c:pt idx="737">
                  <c:v>0.58224380595775493</c:v>
                </c:pt>
                <c:pt idx="738">
                  <c:v>0.58224380595775493</c:v>
                </c:pt>
                <c:pt idx="739">
                  <c:v>0.58224380595775493</c:v>
                </c:pt>
                <c:pt idx="740">
                  <c:v>0.58224380595775493</c:v>
                </c:pt>
                <c:pt idx="741">
                  <c:v>0.61647681840634072</c:v>
                </c:pt>
                <c:pt idx="742">
                  <c:v>0.61647681840634072</c:v>
                </c:pt>
                <c:pt idx="743">
                  <c:v>0.61647681840634072</c:v>
                </c:pt>
                <c:pt idx="744">
                  <c:v>0.61647681840634072</c:v>
                </c:pt>
                <c:pt idx="745">
                  <c:v>0.61647681840634072</c:v>
                </c:pt>
                <c:pt idx="746">
                  <c:v>0.61647681840634072</c:v>
                </c:pt>
                <c:pt idx="747">
                  <c:v>0.61647681840634072</c:v>
                </c:pt>
                <c:pt idx="748">
                  <c:v>0.61647681840634072</c:v>
                </c:pt>
                <c:pt idx="749">
                  <c:v>0.61647681840634072</c:v>
                </c:pt>
                <c:pt idx="750">
                  <c:v>0.61647681840634072</c:v>
                </c:pt>
                <c:pt idx="751">
                  <c:v>0.61647681840634072</c:v>
                </c:pt>
                <c:pt idx="752">
                  <c:v>0.61647681840634072</c:v>
                </c:pt>
                <c:pt idx="753">
                  <c:v>0.61647681840634072</c:v>
                </c:pt>
                <c:pt idx="754">
                  <c:v>0.61647681840634072</c:v>
                </c:pt>
                <c:pt idx="755">
                  <c:v>0.61647681840634072</c:v>
                </c:pt>
                <c:pt idx="756">
                  <c:v>0.61647681840634072</c:v>
                </c:pt>
                <c:pt idx="757">
                  <c:v>0.61647681840634072</c:v>
                </c:pt>
                <c:pt idx="758">
                  <c:v>0.65070132258783708</c:v>
                </c:pt>
                <c:pt idx="759">
                  <c:v>0.65070132258783708</c:v>
                </c:pt>
                <c:pt idx="760">
                  <c:v>0.65070132258783708</c:v>
                </c:pt>
                <c:pt idx="761">
                  <c:v>0.65070132258783708</c:v>
                </c:pt>
                <c:pt idx="762">
                  <c:v>0.65070132258783708</c:v>
                </c:pt>
                <c:pt idx="763">
                  <c:v>0.65070132258783708</c:v>
                </c:pt>
                <c:pt idx="764">
                  <c:v>0.65070132258783708</c:v>
                </c:pt>
                <c:pt idx="765">
                  <c:v>0.65070132258783708</c:v>
                </c:pt>
                <c:pt idx="766">
                  <c:v>0.65070132258783708</c:v>
                </c:pt>
                <c:pt idx="767">
                  <c:v>0.65070132258783708</c:v>
                </c:pt>
                <c:pt idx="768">
                  <c:v>0.65070132258783708</c:v>
                </c:pt>
                <c:pt idx="769">
                  <c:v>0.65070132258783708</c:v>
                </c:pt>
                <c:pt idx="770">
                  <c:v>0.65070132258783708</c:v>
                </c:pt>
                <c:pt idx="771">
                  <c:v>0.65070132258783708</c:v>
                </c:pt>
                <c:pt idx="772">
                  <c:v>0.65070132258783708</c:v>
                </c:pt>
                <c:pt idx="773">
                  <c:v>0.65070132258783708</c:v>
                </c:pt>
                <c:pt idx="774">
                  <c:v>0.65070132258783708</c:v>
                </c:pt>
                <c:pt idx="775">
                  <c:v>0.65070132258783708</c:v>
                </c:pt>
                <c:pt idx="776">
                  <c:v>0.65070132258783708</c:v>
                </c:pt>
                <c:pt idx="777">
                  <c:v>0.65070132258783708</c:v>
                </c:pt>
                <c:pt idx="778">
                  <c:v>0.65070132258783708</c:v>
                </c:pt>
                <c:pt idx="779">
                  <c:v>0.68491732273042283</c:v>
                </c:pt>
                <c:pt idx="780">
                  <c:v>0.68491732273042283</c:v>
                </c:pt>
                <c:pt idx="781">
                  <c:v>0.68491732273042283</c:v>
                </c:pt>
                <c:pt idx="782">
                  <c:v>0.68491732273042283</c:v>
                </c:pt>
                <c:pt idx="783">
                  <c:v>0.68491732273042283</c:v>
                </c:pt>
                <c:pt idx="784">
                  <c:v>0.68491732273042283</c:v>
                </c:pt>
                <c:pt idx="785">
                  <c:v>0.68491732273042283</c:v>
                </c:pt>
                <c:pt idx="786">
                  <c:v>0.68491732273042283</c:v>
                </c:pt>
                <c:pt idx="787">
                  <c:v>0.68491732273042283</c:v>
                </c:pt>
                <c:pt idx="788">
                  <c:v>0.68491732273042283</c:v>
                </c:pt>
                <c:pt idx="789">
                  <c:v>0.68491732273042283</c:v>
                </c:pt>
                <c:pt idx="790">
                  <c:v>0.68491732273042283</c:v>
                </c:pt>
                <c:pt idx="791">
                  <c:v>0.68491732273042283</c:v>
                </c:pt>
                <c:pt idx="792">
                  <c:v>0.68491732273042283</c:v>
                </c:pt>
                <c:pt idx="793">
                  <c:v>0.68491732273042283</c:v>
                </c:pt>
                <c:pt idx="794">
                  <c:v>0.68491732273042283</c:v>
                </c:pt>
                <c:pt idx="795">
                  <c:v>0.71912482305921877</c:v>
                </c:pt>
                <c:pt idx="796">
                  <c:v>0.71912482305921877</c:v>
                </c:pt>
                <c:pt idx="797">
                  <c:v>0.71912482305921877</c:v>
                </c:pt>
                <c:pt idx="798">
                  <c:v>0.71912482305921877</c:v>
                </c:pt>
                <c:pt idx="799">
                  <c:v>0.71912482305921877</c:v>
                </c:pt>
                <c:pt idx="800">
                  <c:v>0.71912482305921877</c:v>
                </c:pt>
                <c:pt idx="801">
                  <c:v>0.71912482305921877</c:v>
                </c:pt>
                <c:pt idx="802">
                  <c:v>0.71912482305921877</c:v>
                </c:pt>
                <c:pt idx="803">
                  <c:v>0.71912482305921877</c:v>
                </c:pt>
                <c:pt idx="804">
                  <c:v>0.71912482305921877</c:v>
                </c:pt>
                <c:pt idx="805">
                  <c:v>0.71912482305921877</c:v>
                </c:pt>
                <c:pt idx="806">
                  <c:v>0.71912482305921877</c:v>
                </c:pt>
                <c:pt idx="807">
                  <c:v>0.71912482305921877</c:v>
                </c:pt>
                <c:pt idx="808">
                  <c:v>0.71912482305921877</c:v>
                </c:pt>
                <c:pt idx="809">
                  <c:v>0.7533238277960439</c:v>
                </c:pt>
                <c:pt idx="810">
                  <c:v>0.7533238277960439</c:v>
                </c:pt>
                <c:pt idx="811">
                  <c:v>0.7533238277960439</c:v>
                </c:pt>
                <c:pt idx="812">
                  <c:v>0.7533238277960439</c:v>
                </c:pt>
                <c:pt idx="813">
                  <c:v>0.7533238277960439</c:v>
                </c:pt>
                <c:pt idx="814">
                  <c:v>0.7533238277960439</c:v>
                </c:pt>
                <c:pt idx="815">
                  <c:v>0.7533238277960439</c:v>
                </c:pt>
                <c:pt idx="816">
                  <c:v>0.7533238277960439</c:v>
                </c:pt>
                <c:pt idx="817">
                  <c:v>0.7533238277960439</c:v>
                </c:pt>
                <c:pt idx="818">
                  <c:v>0.7533238277960439</c:v>
                </c:pt>
                <c:pt idx="819">
                  <c:v>0.7533238277960439</c:v>
                </c:pt>
                <c:pt idx="820">
                  <c:v>0.7533238277960439</c:v>
                </c:pt>
                <c:pt idx="821">
                  <c:v>0.7533238277960439</c:v>
                </c:pt>
                <c:pt idx="822">
                  <c:v>0.7533238277960439</c:v>
                </c:pt>
                <c:pt idx="823">
                  <c:v>0.7533238277960439</c:v>
                </c:pt>
                <c:pt idx="824">
                  <c:v>0.7533238277960439</c:v>
                </c:pt>
                <c:pt idx="825">
                  <c:v>0.78751434115990404</c:v>
                </c:pt>
                <c:pt idx="826">
                  <c:v>0.78751434115990404</c:v>
                </c:pt>
                <c:pt idx="827">
                  <c:v>0.78751434115990404</c:v>
                </c:pt>
                <c:pt idx="828">
                  <c:v>0.78751434115990404</c:v>
                </c:pt>
                <c:pt idx="829">
                  <c:v>0.78751434115990404</c:v>
                </c:pt>
                <c:pt idx="830">
                  <c:v>0.78751434115990404</c:v>
                </c:pt>
                <c:pt idx="831">
                  <c:v>0.78751434115990404</c:v>
                </c:pt>
                <c:pt idx="832">
                  <c:v>0.78751434115990404</c:v>
                </c:pt>
                <c:pt idx="833">
                  <c:v>0.78751434115990404</c:v>
                </c:pt>
                <c:pt idx="834">
                  <c:v>0.78751434115990404</c:v>
                </c:pt>
                <c:pt idx="835">
                  <c:v>0.78751434115990404</c:v>
                </c:pt>
                <c:pt idx="836">
                  <c:v>0.78751434115990404</c:v>
                </c:pt>
                <c:pt idx="837">
                  <c:v>0.78751434115990404</c:v>
                </c:pt>
                <c:pt idx="838">
                  <c:v>0.78751434115990404</c:v>
                </c:pt>
                <c:pt idx="839">
                  <c:v>0.82169636736625806</c:v>
                </c:pt>
                <c:pt idx="840">
                  <c:v>0.82169636736625806</c:v>
                </c:pt>
                <c:pt idx="841">
                  <c:v>0.82169636736625806</c:v>
                </c:pt>
                <c:pt idx="842">
                  <c:v>0.82169636736625806</c:v>
                </c:pt>
                <c:pt idx="843">
                  <c:v>0.82169636736625806</c:v>
                </c:pt>
                <c:pt idx="844">
                  <c:v>0.82169636736625806</c:v>
                </c:pt>
                <c:pt idx="845">
                  <c:v>0.82169636736625806</c:v>
                </c:pt>
                <c:pt idx="846">
                  <c:v>0.82169636736625806</c:v>
                </c:pt>
                <c:pt idx="847">
                  <c:v>0.82169636736625806</c:v>
                </c:pt>
                <c:pt idx="848">
                  <c:v>0.85586991062762974</c:v>
                </c:pt>
                <c:pt idx="849">
                  <c:v>0.85586991062762974</c:v>
                </c:pt>
                <c:pt idx="850">
                  <c:v>0.85586991062762974</c:v>
                </c:pt>
                <c:pt idx="851">
                  <c:v>0.85586991062762974</c:v>
                </c:pt>
                <c:pt idx="852">
                  <c:v>0.85586991062762974</c:v>
                </c:pt>
                <c:pt idx="853">
                  <c:v>0.85586991062762974</c:v>
                </c:pt>
                <c:pt idx="854">
                  <c:v>0.85586991062762974</c:v>
                </c:pt>
                <c:pt idx="855">
                  <c:v>0.85586991062762974</c:v>
                </c:pt>
                <c:pt idx="856">
                  <c:v>0.85586991062762974</c:v>
                </c:pt>
                <c:pt idx="857">
                  <c:v>0.85586991062762974</c:v>
                </c:pt>
                <c:pt idx="858">
                  <c:v>0.85586991062762974</c:v>
                </c:pt>
                <c:pt idx="859">
                  <c:v>0.89003497515360752</c:v>
                </c:pt>
                <c:pt idx="860">
                  <c:v>0.89003497515360752</c:v>
                </c:pt>
                <c:pt idx="861">
                  <c:v>0.89003497515360752</c:v>
                </c:pt>
                <c:pt idx="862">
                  <c:v>0.89003497515360752</c:v>
                </c:pt>
                <c:pt idx="863">
                  <c:v>0.89003497515360752</c:v>
                </c:pt>
                <c:pt idx="864">
                  <c:v>0.89003497515360752</c:v>
                </c:pt>
                <c:pt idx="865">
                  <c:v>0.89003497515360752</c:v>
                </c:pt>
                <c:pt idx="866">
                  <c:v>0.89003497515360752</c:v>
                </c:pt>
                <c:pt idx="867">
                  <c:v>0.89003497515360752</c:v>
                </c:pt>
                <c:pt idx="868">
                  <c:v>0.92419156515023282</c:v>
                </c:pt>
                <c:pt idx="869">
                  <c:v>0.92419156515023282</c:v>
                </c:pt>
                <c:pt idx="870">
                  <c:v>0.92419156515023282</c:v>
                </c:pt>
                <c:pt idx="871">
                  <c:v>0.92419156515023282</c:v>
                </c:pt>
                <c:pt idx="872">
                  <c:v>0.92419156515023282</c:v>
                </c:pt>
                <c:pt idx="873">
                  <c:v>0.92419156515023282</c:v>
                </c:pt>
                <c:pt idx="874">
                  <c:v>0.92419156515023282</c:v>
                </c:pt>
                <c:pt idx="875">
                  <c:v>0.92419156515023282</c:v>
                </c:pt>
                <c:pt idx="876">
                  <c:v>0.92419156515023282</c:v>
                </c:pt>
                <c:pt idx="877">
                  <c:v>0.92419156515023282</c:v>
                </c:pt>
                <c:pt idx="878">
                  <c:v>0.95833968482061216</c:v>
                </c:pt>
                <c:pt idx="879">
                  <c:v>0.95833968482061216</c:v>
                </c:pt>
                <c:pt idx="880">
                  <c:v>0.95833968482061216</c:v>
                </c:pt>
                <c:pt idx="881">
                  <c:v>0.95833968482061216</c:v>
                </c:pt>
                <c:pt idx="882">
                  <c:v>0.95833968482061216</c:v>
                </c:pt>
                <c:pt idx="883">
                  <c:v>0.95833968482061216</c:v>
                </c:pt>
                <c:pt idx="884">
                  <c:v>0.95833968482061216</c:v>
                </c:pt>
                <c:pt idx="885">
                  <c:v>0.95833968482061216</c:v>
                </c:pt>
                <c:pt idx="886">
                  <c:v>0.95833968482061216</c:v>
                </c:pt>
                <c:pt idx="887">
                  <c:v>0.95833968482061216</c:v>
                </c:pt>
                <c:pt idx="888">
                  <c:v>0.95833968482061216</c:v>
                </c:pt>
                <c:pt idx="889">
                  <c:v>0.95833968482061216</c:v>
                </c:pt>
                <c:pt idx="890">
                  <c:v>0.99247933836479396</c:v>
                </c:pt>
                <c:pt idx="891">
                  <c:v>0.99247933836479396</c:v>
                </c:pt>
                <c:pt idx="892">
                  <c:v>0.99247933836479396</c:v>
                </c:pt>
                <c:pt idx="893">
                  <c:v>0.99247933836479396</c:v>
                </c:pt>
                <c:pt idx="894">
                  <c:v>0.99247933836479396</c:v>
                </c:pt>
                <c:pt idx="895">
                  <c:v>0.99247933836479396</c:v>
                </c:pt>
                <c:pt idx="896">
                  <c:v>0.99247933836479396</c:v>
                </c:pt>
                <c:pt idx="897">
                  <c:v>0.99247933836479396</c:v>
                </c:pt>
                <c:pt idx="898">
                  <c:v>1.0266105299797694</c:v>
                </c:pt>
                <c:pt idx="899">
                  <c:v>1.0266105299797694</c:v>
                </c:pt>
                <c:pt idx="900">
                  <c:v>1.0266105299797694</c:v>
                </c:pt>
                <c:pt idx="901">
                  <c:v>1.0266105299797694</c:v>
                </c:pt>
                <c:pt idx="902">
                  <c:v>1.0607332638591049</c:v>
                </c:pt>
                <c:pt idx="903">
                  <c:v>1.0607332638591049</c:v>
                </c:pt>
                <c:pt idx="904">
                  <c:v>1.0607332638591049</c:v>
                </c:pt>
                <c:pt idx="905">
                  <c:v>1.0607332638591049</c:v>
                </c:pt>
                <c:pt idx="906">
                  <c:v>1.0607332638591049</c:v>
                </c:pt>
                <c:pt idx="907">
                  <c:v>1.0607332638591049</c:v>
                </c:pt>
                <c:pt idx="908">
                  <c:v>1.0607332638591049</c:v>
                </c:pt>
                <c:pt idx="909">
                  <c:v>1.0607332638591049</c:v>
                </c:pt>
                <c:pt idx="910">
                  <c:v>1.0607332638591049</c:v>
                </c:pt>
                <c:pt idx="911">
                  <c:v>1.0607332638591049</c:v>
                </c:pt>
                <c:pt idx="912">
                  <c:v>1.0607332638591049</c:v>
                </c:pt>
                <c:pt idx="913">
                  <c:v>1.0607332638591049</c:v>
                </c:pt>
                <c:pt idx="914">
                  <c:v>1.094847544193432</c:v>
                </c:pt>
                <c:pt idx="915">
                  <c:v>1.094847544193432</c:v>
                </c:pt>
                <c:pt idx="916">
                  <c:v>1.094847544193432</c:v>
                </c:pt>
                <c:pt idx="917">
                  <c:v>1.094847544193432</c:v>
                </c:pt>
                <c:pt idx="918">
                  <c:v>1.094847544193432</c:v>
                </c:pt>
                <c:pt idx="919">
                  <c:v>1.094847544193432</c:v>
                </c:pt>
                <c:pt idx="920">
                  <c:v>1.094847544193432</c:v>
                </c:pt>
                <c:pt idx="921">
                  <c:v>1.1289533751703242</c:v>
                </c:pt>
                <c:pt idx="922">
                  <c:v>1.1289533751703242</c:v>
                </c:pt>
                <c:pt idx="923">
                  <c:v>1.1289533751703242</c:v>
                </c:pt>
                <c:pt idx="924">
                  <c:v>1.1289533751703242</c:v>
                </c:pt>
                <c:pt idx="925">
                  <c:v>1.1289533751703242</c:v>
                </c:pt>
                <c:pt idx="926">
                  <c:v>1.1630507609741751</c:v>
                </c:pt>
                <c:pt idx="927">
                  <c:v>1.1630507609741751</c:v>
                </c:pt>
                <c:pt idx="928">
                  <c:v>1.1630507609741751</c:v>
                </c:pt>
                <c:pt idx="929">
                  <c:v>1.1971397057863209</c:v>
                </c:pt>
                <c:pt idx="930">
                  <c:v>1.1971397057863209</c:v>
                </c:pt>
                <c:pt idx="931">
                  <c:v>1.1971397057863209</c:v>
                </c:pt>
                <c:pt idx="932">
                  <c:v>1.1971397057863209</c:v>
                </c:pt>
                <c:pt idx="933">
                  <c:v>1.1971397057863209</c:v>
                </c:pt>
                <c:pt idx="934">
                  <c:v>1.1971397057863209</c:v>
                </c:pt>
                <c:pt idx="935">
                  <c:v>1.1971397057863209</c:v>
                </c:pt>
                <c:pt idx="936">
                  <c:v>1.1971397057863209</c:v>
                </c:pt>
                <c:pt idx="937">
                  <c:v>1.1971397057863209</c:v>
                </c:pt>
                <c:pt idx="938">
                  <c:v>1.2312202137847954</c:v>
                </c:pt>
                <c:pt idx="939">
                  <c:v>1.2312202137847954</c:v>
                </c:pt>
                <c:pt idx="940">
                  <c:v>1.2312202137847954</c:v>
                </c:pt>
                <c:pt idx="941">
                  <c:v>1.2312202137847954</c:v>
                </c:pt>
                <c:pt idx="942">
                  <c:v>1.2312202137847954</c:v>
                </c:pt>
                <c:pt idx="943">
                  <c:v>1.2312202137847954</c:v>
                </c:pt>
                <c:pt idx="944">
                  <c:v>1.2312202137847954</c:v>
                </c:pt>
                <c:pt idx="945">
                  <c:v>1.2652922891449421</c:v>
                </c:pt>
                <c:pt idx="946">
                  <c:v>1.2652922891449421</c:v>
                </c:pt>
                <c:pt idx="947">
                  <c:v>1.2652922891449421</c:v>
                </c:pt>
                <c:pt idx="948">
                  <c:v>1.2993559360385574</c:v>
                </c:pt>
                <c:pt idx="949">
                  <c:v>1.2993559360385574</c:v>
                </c:pt>
                <c:pt idx="950">
                  <c:v>1.2993559360385574</c:v>
                </c:pt>
                <c:pt idx="951">
                  <c:v>1.2993559360385574</c:v>
                </c:pt>
                <c:pt idx="952">
                  <c:v>1.2993559360385574</c:v>
                </c:pt>
                <c:pt idx="953">
                  <c:v>1.3334111586346242</c:v>
                </c:pt>
                <c:pt idx="954">
                  <c:v>1.3334111586346242</c:v>
                </c:pt>
                <c:pt idx="955">
                  <c:v>1.3334111586346242</c:v>
                </c:pt>
                <c:pt idx="956">
                  <c:v>1.3674579610989466</c:v>
                </c:pt>
                <c:pt idx="957">
                  <c:v>1.4014963475941478</c:v>
                </c:pt>
                <c:pt idx="958">
                  <c:v>1.4014963475941478</c:v>
                </c:pt>
                <c:pt idx="959">
                  <c:v>1.4014963475941478</c:v>
                </c:pt>
                <c:pt idx="960">
                  <c:v>1.4014963475941478</c:v>
                </c:pt>
                <c:pt idx="961">
                  <c:v>1.4355263222799162</c:v>
                </c:pt>
                <c:pt idx="962">
                  <c:v>1.4695478893128826</c:v>
                </c:pt>
                <c:pt idx="963">
                  <c:v>1.5035610528463752</c:v>
                </c:pt>
                <c:pt idx="964">
                  <c:v>1.5035610528463752</c:v>
                </c:pt>
                <c:pt idx="965">
                  <c:v>1.5035610528463752</c:v>
                </c:pt>
                <c:pt idx="966">
                  <c:v>1.5035610528463752</c:v>
                </c:pt>
                <c:pt idx="967">
                  <c:v>1.5035610528463752</c:v>
                </c:pt>
                <c:pt idx="968">
                  <c:v>1.5375658170307873</c:v>
                </c:pt>
                <c:pt idx="969">
                  <c:v>1.5375658170307873</c:v>
                </c:pt>
                <c:pt idx="970">
                  <c:v>1.5375658170307873</c:v>
                </c:pt>
                <c:pt idx="971">
                  <c:v>1.5715621860135769</c:v>
                </c:pt>
                <c:pt idx="972">
                  <c:v>1.5715621860135769</c:v>
                </c:pt>
                <c:pt idx="973">
                  <c:v>1.5715621860135769</c:v>
                </c:pt>
                <c:pt idx="974">
                  <c:v>1.5715621860135769</c:v>
                </c:pt>
                <c:pt idx="975">
                  <c:v>1.6055501639388994</c:v>
                </c:pt>
                <c:pt idx="976">
                  <c:v>1.6055501639388994</c:v>
                </c:pt>
                <c:pt idx="977">
                  <c:v>1.6055501639388994</c:v>
                </c:pt>
                <c:pt idx="978">
                  <c:v>1.6055501639388994</c:v>
                </c:pt>
                <c:pt idx="979">
                  <c:v>1.6395297549479753</c:v>
                </c:pt>
                <c:pt idx="980">
                  <c:v>1.6735009631787228</c:v>
                </c:pt>
                <c:pt idx="981">
                  <c:v>1.7074637927664913</c:v>
                </c:pt>
                <c:pt idx="982">
                  <c:v>1.7074637927664913</c:v>
                </c:pt>
                <c:pt idx="983">
                  <c:v>1.7074637927664913</c:v>
                </c:pt>
                <c:pt idx="984">
                  <c:v>1.741418247843084</c:v>
                </c:pt>
                <c:pt idx="985">
                  <c:v>1.741418247843084</c:v>
                </c:pt>
                <c:pt idx="986">
                  <c:v>1.741418247843084</c:v>
                </c:pt>
                <c:pt idx="987">
                  <c:v>1.741418247843084</c:v>
                </c:pt>
                <c:pt idx="988">
                  <c:v>1.7753643325373687</c:v>
                </c:pt>
                <c:pt idx="989">
                  <c:v>1.7753643325373687</c:v>
                </c:pt>
                <c:pt idx="990">
                  <c:v>1.7753643325373687</c:v>
                </c:pt>
                <c:pt idx="991">
                  <c:v>1.7753643325373687</c:v>
                </c:pt>
                <c:pt idx="992">
                  <c:v>1.8093020509753996</c:v>
                </c:pt>
                <c:pt idx="993">
                  <c:v>1.8432314072799294</c:v>
                </c:pt>
                <c:pt idx="994">
                  <c:v>1.8432314072799294</c:v>
                </c:pt>
                <c:pt idx="995">
                  <c:v>1.8432314072799294</c:v>
                </c:pt>
                <c:pt idx="996">
                  <c:v>1.8771524055707751</c:v>
                </c:pt>
                <c:pt idx="997">
                  <c:v>1.9110650499646962</c:v>
                </c:pt>
                <c:pt idx="998">
                  <c:v>1.9110650499646962</c:v>
                </c:pt>
                <c:pt idx="999">
                  <c:v>2.486305832860253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A-4A5F-AE77-7327875BE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43264"/>
        <c:axId val="148633360"/>
      </c:scatterChart>
      <c:valAx>
        <c:axId val="15164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ln(x)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8633360"/>
        <c:crosses val="autoZero"/>
        <c:crossBetween val="midCat"/>
      </c:valAx>
      <c:valAx>
        <c:axId val="14863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Wartości standaryzowane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164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v>Dystrybuanta empiryczna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Arkusz1!$B$2:$B$1001</c:f>
              <c:numCache>
                <c:formatCode>General</c:formatCode>
                <c:ptCount val="1000"/>
                <c:pt idx="0">
                  <c:v>390</c:v>
                </c:pt>
                <c:pt idx="1">
                  <c:v>390.6</c:v>
                </c:pt>
                <c:pt idx="2">
                  <c:v>390.7</c:v>
                </c:pt>
                <c:pt idx="3">
                  <c:v>391.2</c:v>
                </c:pt>
                <c:pt idx="4">
                  <c:v>391.3</c:v>
                </c:pt>
                <c:pt idx="5">
                  <c:v>391.6</c:v>
                </c:pt>
                <c:pt idx="6">
                  <c:v>391.7</c:v>
                </c:pt>
                <c:pt idx="7">
                  <c:v>391.8</c:v>
                </c:pt>
                <c:pt idx="8">
                  <c:v>391.8</c:v>
                </c:pt>
                <c:pt idx="9">
                  <c:v>391.8</c:v>
                </c:pt>
                <c:pt idx="10">
                  <c:v>392</c:v>
                </c:pt>
                <c:pt idx="11">
                  <c:v>392</c:v>
                </c:pt>
                <c:pt idx="12">
                  <c:v>392.1</c:v>
                </c:pt>
                <c:pt idx="13">
                  <c:v>392.2</c:v>
                </c:pt>
                <c:pt idx="14">
                  <c:v>392.3</c:v>
                </c:pt>
                <c:pt idx="15">
                  <c:v>392.3</c:v>
                </c:pt>
                <c:pt idx="16">
                  <c:v>392.4</c:v>
                </c:pt>
                <c:pt idx="17">
                  <c:v>392.4</c:v>
                </c:pt>
                <c:pt idx="18">
                  <c:v>392.5</c:v>
                </c:pt>
                <c:pt idx="19">
                  <c:v>392.7</c:v>
                </c:pt>
                <c:pt idx="20">
                  <c:v>392.7</c:v>
                </c:pt>
                <c:pt idx="21">
                  <c:v>392.8</c:v>
                </c:pt>
                <c:pt idx="22">
                  <c:v>392.8</c:v>
                </c:pt>
                <c:pt idx="23">
                  <c:v>392.9</c:v>
                </c:pt>
                <c:pt idx="24">
                  <c:v>393.1</c:v>
                </c:pt>
                <c:pt idx="25">
                  <c:v>393.1</c:v>
                </c:pt>
                <c:pt idx="26">
                  <c:v>393.1</c:v>
                </c:pt>
                <c:pt idx="27">
                  <c:v>393.4</c:v>
                </c:pt>
                <c:pt idx="28">
                  <c:v>393.5</c:v>
                </c:pt>
                <c:pt idx="29">
                  <c:v>393.5</c:v>
                </c:pt>
                <c:pt idx="30">
                  <c:v>393.6</c:v>
                </c:pt>
                <c:pt idx="31">
                  <c:v>393.6</c:v>
                </c:pt>
                <c:pt idx="32">
                  <c:v>393.7</c:v>
                </c:pt>
                <c:pt idx="33">
                  <c:v>393.8</c:v>
                </c:pt>
                <c:pt idx="34">
                  <c:v>393.9</c:v>
                </c:pt>
                <c:pt idx="35">
                  <c:v>393.9</c:v>
                </c:pt>
                <c:pt idx="36">
                  <c:v>393.9</c:v>
                </c:pt>
                <c:pt idx="37">
                  <c:v>394</c:v>
                </c:pt>
                <c:pt idx="38">
                  <c:v>394</c:v>
                </c:pt>
                <c:pt idx="39">
                  <c:v>394.1</c:v>
                </c:pt>
                <c:pt idx="40">
                  <c:v>394.1</c:v>
                </c:pt>
                <c:pt idx="41">
                  <c:v>394.1</c:v>
                </c:pt>
                <c:pt idx="42">
                  <c:v>394.1</c:v>
                </c:pt>
                <c:pt idx="43">
                  <c:v>394.2</c:v>
                </c:pt>
                <c:pt idx="44">
                  <c:v>394.2</c:v>
                </c:pt>
                <c:pt idx="45">
                  <c:v>394.2</c:v>
                </c:pt>
                <c:pt idx="46">
                  <c:v>394.3</c:v>
                </c:pt>
                <c:pt idx="47">
                  <c:v>394.3</c:v>
                </c:pt>
                <c:pt idx="48">
                  <c:v>394.3</c:v>
                </c:pt>
                <c:pt idx="49">
                  <c:v>394.4</c:v>
                </c:pt>
                <c:pt idx="50">
                  <c:v>394.4</c:v>
                </c:pt>
                <c:pt idx="51">
                  <c:v>394.4</c:v>
                </c:pt>
                <c:pt idx="52">
                  <c:v>394.4</c:v>
                </c:pt>
                <c:pt idx="53">
                  <c:v>394.4</c:v>
                </c:pt>
                <c:pt idx="54">
                  <c:v>394.4</c:v>
                </c:pt>
                <c:pt idx="55">
                  <c:v>394.5</c:v>
                </c:pt>
                <c:pt idx="56">
                  <c:v>394.5</c:v>
                </c:pt>
                <c:pt idx="57">
                  <c:v>394.5</c:v>
                </c:pt>
                <c:pt idx="58">
                  <c:v>394.5</c:v>
                </c:pt>
                <c:pt idx="59">
                  <c:v>394.5</c:v>
                </c:pt>
                <c:pt idx="60">
                  <c:v>394.6</c:v>
                </c:pt>
                <c:pt idx="61">
                  <c:v>394.7</c:v>
                </c:pt>
                <c:pt idx="62">
                  <c:v>394.7</c:v>
                </c:pt>
                <c:pt idx="63">
                  <c:v>394.7</c:v>
                </c:pt>
                <c:pt idx="64">
                  <c:v>394.7</c:v>
                </c:pt>
                <c:pt idx="65">
                  <c:v>394.8</c:v>
                </c:pt>
                <c:pt idx="66">
                  <c:v>394.8</c:v>
                </c:pt>
                <c:pt idx="67">
                  <c:v>394.8</c:v>
                </c:pt>
                <c:pt idx="68">
                  <c:v>394.8</c:v>
                </c:pt>
                <c:pt idx="69">
                  <c:v>394.8</c:v>
                </c:pt>
                <c:pt idx="70">
                  <c:v>394.9</c:v>
                </c:pt>
                <c:pt idx="71">
                  <c:v>394.9</c:v>
                </c:pt>
                <c:pt idx="72">
                  <c:v>394.9</c:v>
                </c:pt>
                <c:pt idx="73">
                  <c:v>394.9</c:v>
                </c:pt>
                <c:pt idx="74">
                  <c:v>394.9</c:v>
                </c:pt>
                <c:pt idx="75">
                  <c:v>394.9</c:v>
                </c:pt>
                <c:pt idx="76">
                  <c:v>394.9</c:v>
                </c:pt>
                <c:pt idx="77">
                  <c:v>395</c:v>
                </c:pt>
                <c:pt idx="78">
                  <c:v>395</c:v>
                </c:pt>
                <c:pt idx="79">
                  <c:v>395</c:v>
                </c:pt>
                <c:pt idx="80">
                  <c:v>395</c:v>
                </c:pt>
                <c:pt idx="81">
                  <c:v>395.1</c:v>
                </c:pt>
                <c:pt idx="82">
                  <c:v>395.1</c:v>
                </c:pt>
                <c:pt idx="83">
                  <c:v>395.1</c:v>
                </c:pt>
                <c:pt idx="84">
                  <c:v>395.1</c:v>
                </c:pt>
                <c:pt idx="85">
                  <c:v>395.1</c:v>
                </c:pt>
                <c:pt idx="86">
                  <c:v>395.2</c:v>
                </c:pt>
                <c:pt idx="87">
                  <c:v>395.2</c:v>
                </c:pt>
                <c:pt idx="88">
                  <c:v>395.2</c:v>
                </c:pt>
                <c:pt idx="89">
                  <c:v>395.2</c:v>
                </c:pt>
                <c:pt idx="90">
                  <c:v>395.5</c:v>
                </c:pt>
                <c:pt idx="91">
                  <c:v>395.6</c:v>
                </c:pt>
                <c:pt idx="92">
                  <c:v>395.7</c:v>
                </c:pt>
                <c:pt idx="93">
                  <c:v>395.7</c:v>
                </c:pt>
                <c:pt idx="94">
                  <c:v>395.7</c:v>
                </c:pt>
                <c:pt idx="95">
                  <c:v>395.8</c:v>
                </c:pt>
                <c:pt idx="96">
                  <c:v>395.9</c:v>
                </c:pt>
                <c:pt idx="97">
                  <c:v>395.9</c:v>
                </c:pt>
                <c:pt idx="98">
                  <c:v>395.9</c:v>
                </c:pt>
                <c:pt idx="99">
                  <c:v>396</c:v>
                </c:pt>
                <c:pt idx="100">
                  <c:v>396.1</c:v>
                </c:pt>
                <c:pt idx="101">
                  <c:v>396.3</c:v>
                </c:pt>
                <c:pt idx="102">
                  <c:v>396.4</c:v>
                </c:pt>
                <c:pt idx="103">
                  <c:v>396.4</c:v>
                </c:pt>
                <c:pt idx="104">
                  <c:v>396.4</c:v>
                </c:pt>
                <c:pt idx="105">
                  <c:v>396.5</c:v>
                </c:pt>
                <c:pt idx="106">
                  <c:v>396.6</c:v>
                </c:pt>
                <c:pt idx="107">
                  <c:v>396.6</c:v>
                </c:pt>
                <c:pt idx="108">
                  <c:v>396.6</c:v>
                </c:pt>
                <c:pt idx="109">
                  <c:v>396.7</c:v>
                </c:pt>
                <c:pt idx="110">
                  <c:v>396.7</c:v>
                </c:pt>
                <c:pt idx="111">
                  <c:v>396.7</c:v>
                </c:pt>
                <c:pt idx="112">
                  <c:v>396.8</c:v>
                </c:pt>
                <c:pt idx="113">
                  <c:v>396.9</c:v>
                </c:pt>
                <c:pt idx="114">
                  <c:v>396.9</c:v>
                </c:pt>
                <c:pt idx="115">
                  <c:v>396.9</c:v>
                </c:pt>
                <c:pt idx="116">
                  <c:v>396.9</c:v>
                </c:pt>
                <c:pt idx="117">
                  <c:v>396.9</c:v>
                </c:pt>
                <c:pt idx="118">
                  <c:v>397</c:v>
                </c:pt>
                <c:pt idx="119">
                  <c:v>397</c:v>
                </c:pt>
                <c:pt idx="120">
                  <c:v>397</c:v>
                </c:pt>
                <c:pt idx="121">
                  <c:v>397</c:v>
                </c:pt>
                <c:pt idx="122">
                  <c:v>397</c:v>
                </c:pt>
                <c:pt idx="123">
                  <c:v>397.1</c:v>
                </c:pt>
                <c:pt idx="124">
                  <c:v>397.1</c:v>
                </c:pt>
                <c:pt idx="125">
                  <c:v>397.1</c:v>
                </c:pt>
                <c:pt idx="126">
                  <c:v>397.1</c:v>
                </c:pt>
                <c:pt idx="127">
                  <c:v>397.1</c:v>
                </c:pt>
                <c:pt idx="128">
                  <c:v>397.2</c:v>
                </c:pt>
                <c:pt idx="129">
                  <c:v>397.2</c:v>
                </c:pt>
                <c:pt idx="130">
                  <c:v>397.2</c:v>
                </c:pt>
                <c:pt idx="131">
                  <c:v>397.2</c:v>
                </c:pt>
                <c:pt idx="132">
                  <c:v>397.3</c:v>
                </c:pt>
                <c:pt idx="133">
                  <c:v>397.4</c:v>
                </c:pt>
                <c:pt idx="134">
                  <c:v>397.4</c:v>
                </c:pt>
                <c:pt idx="135">
                  <c:v>397.5</c:v>
                </c:pt>
                <c:pt idx="136">
                  <c:v>397.5</c:v>
                </c:pt>
                <c:pt idx="137">
                  <c:v>397.5</c:v>
                </c:pt>
                <c:pt idx="138">
                  <c:v>397.6</c:v>
                </c:pt>
                <c:pt idx="139">
                  <c:v>397.6</c:v>
                </c:pt>
                <c:pt idx="140">
                  <c:v>397.6</c:v>
                </c:pt>
                <c:pt idx="141">
                  <c:v>397.7</c:v>
                </c:pt>
                <c:pt idx="142">
                  <c:v>397.7</c:v>
                </c:pt>
                <c:pt idx="143">
                  <c:v>397.7</c:v>
                </c:pt>
                <c:pt idx="144">
                  <c:v>397.8</c:v>
                </c:pt>
                <c:pt idx="145">
                  <c:v>397.8</c:v>
                </c:pt>
                <c:pt idx="146">
                  <c:v>397.8</c:v>
                </c:pt>
                <c:pt idx="147">
                  <c:v>397.8</c:v>
                </c:pt>
                <c:pt idx="148">
                  <c:v>397.9</c:v>
                </c:pt>
                <c:pt idx="149">
                  <c:v>397.9</c:v>
                </c:pt>
                <c:pt idx="150">
                  <c:v>397.9</c:v>
                </c:pt>
                <c:pt idx="151">
                  <c:v>398</c:v>
                </c:pt>
                <c:pt idx="152">
                  <c:v>398</c:v>
                </c:pt>
                <c:pt idx="153">
                  <c:v>398.1</c:v>
                </c:pt>
                <c:pt idx="154">
                  <c:v>398.1</c:v>
                </c:pt>
                <c:pt idx="155">
                  <c:v>398.1</c:v>
                </c:pt>
                <c:pt idx="156">
                  <c:v>398.1</c:v>
                </c:pt>
                <c:pt idx="157">
                  <c:v>398.1</c:v>
                </c:pt>
                <c:pt idx="158">
                  <c:v>398.1</c:v>
                </c:pt>
                <c:pt idx="159">
                  <c:v>398.1</c:v>
                </c:pt>
                <c:pt idx="160">
                  <c:v>398.1</c:v>
                </c:pt>
                <c:pt idx="161">
                  <c:v>398.1</c:v>
                </c:pt>
                <c:pt idx="162">
                  <c:v>398.1</c:v>
                </c:pt>
                <c:pt idx="163">
                  <c:v>398.2</c:v>
                </c:pt>
                <c:pt idx="164">
                  <c:v>398.2</c:v>
                </c:pt>
                <c:pt idx="165">
                  <c:v>398.2</c:v>
                </c:pt>
                <c:pt idx="166">
                  <c:v>398.2</c:v>
                </c:pt>
                <c:pt idx="167">
                  <c:v>398.3</c:v>
                </c:pt>
                <c:pt idx="168">
                  <c:v>398.3</c:v>
                </c:pt>
                <c:pt idx="169">
                  <c:v>398.3</c:v>
                </c:pt>
                <c:pt idx="170">
                  <c:v>398.3</c:v>
                </c:pt>
                <c:pt idx="171">
                  <c:v>398.3</c:v>
                </c:pt>
                <c:pt idx="172">
                  <c:v>398.4</c:v>
                </c:pt>
                <c:pt idx="173">
                  <c:v>398.4</c:v>
                </c:pt>
                <c:pt idx="174">
                  <c:v>398.4</c:v>
                </c:pt>
                <c:pt idx="175">
                  <c:v>398.4</c:v>
                </c:pt>
                <c:pt idx="176">
                  <c:v>398.4</c:v>
                </c:pt>
                <c:pt idx="177">
                  <c:v>398.4</c:v>
                </c:pt>
                <c:pt idx="178">
                  <c:v>398.4</c:v>
                </c:pt>
                <c:pt idx="179">
                  <c:v>398.4</c:v>
                </c:pt>
                <c:pt idx="180">
                  <c:v>398.4</c:v>
                </c:pt>
                <c:pt idx="181">
                  <c:v>398.5</c:v>
                </c:pt>
                <c:pt idx="182">
                  <c:v>398.5</c:v>
                </c:pt>
                <c:pt idx="183">
                  <c:v>398.5</c:v>
                </c:pt>
                <c:pt idx="184">
                  <c:v>398.5</c:v>
                </c:pt>
                <c:pt idx="185">
                  <c:v>398.5</c:v>
                </c:pt>
                <c:pt idx="186">
                  <c:v>398.5</c:v>
                </c:pt>
                <c:pt idx="187">
                  <c:v>398.5</c:v>
                </c:pt>
                <c:pt idx="188">
                  <c:v>398.5</c:v>
                </c:pt>
                <c:pt idx="189">
                  <c:v>398.6</c:v>
                </c:pt>
                <c:pt idx="190">
                  <c:v>398.6</c:v>
                </c:pt>
                <c:pt idx="191">
                  <c:v>398.6</c:v>
                </c:pt>
                <c:pt idx="192">
                  <c:v>398.6</c:v>
                </c:pt>
                <c:pt idx="193">
                  <c:v>398.6</c:v>
                </c:pt>
                <c:pt idx="194">
                  <c:v>398.6</c:v>
                </c:pt>
                <c:pt idx="195">
                  <c:v>398.6</c:v>
                </c:pt>
                <c:pt idx="196">
                  <c:v>398.6</c:v>
                </c:pt>
                <c:pt idx="197">
                  <c:v>398.7</c:v>
                </c:pt>
                <c:pt idx="198">
                  <c:v>398.7</c:v>
                </c:pt>
                <c:pt idx="199">
                  <c:v>398.7</c:v>
                </c:pt>
                <c:pt idx="200">
                  <c:v>398.7</c:v>
                </c:pt>
                <c:pt idx="201">
                  <c:v>398.7</c:v>
                </c:pt>
                <c:pt idx="202">
                  <c:v>398.7</c:v>
                </c:pt>
                <c:pt idx="203">
                  <c:v>398.7</c:v>
                </c:pt>
                <c:pt idx="204">
                  <c:v>398.7</c:v>
                </c:pt>
                <c:pt idx="205">
                  <c:v>398.7</c:v>
                </c:pt>
                <c:pt idx="206">
                  <c:v>398.8</c:v>
                </c:pt>
                <c:pt idx="207">
                  <c:v>398.8</c:v>
                </c:pt>
                <c:pt idx="208">
                  <c:v>398.8</c:v>
                </c:pt>
                <c:pt idx="209">
                  <c:v>398.8</c:v>
                </c:pt>
                <c:pt idx="210">
                  <c:v>398.8</c:v>
                </c:pt>
                <c:pt idx="211">
                  <c:v>398.8</c:v>
                </c:pt>
                <c:pt idx="212">
                  <c:v>398.8</c:v>
                </c:pt>
                <c:pt idx="213">
                  <c:v>398.8</c:v>
                </c:pt>
                <c:pt idx="214">
                  <c:v>398.8</c:v>
                </c:pt>
                <c:pt idx="215">
                  <c:v>398.9</c:v>
                </c:pt>
                <c:pt idx="216">
                  <c:v>398.9</c:v>
                </c:pt>
                <c:pt idx="217">
                  <c:v>398.9</c:v>
                </c:pt>
                <c:pt idx="218">
                  <c:v>398.9</c:v>
                </c:pt>
                <c:pt idx="219">
                  <c:v>398.9</c:v>
                </c:pt>
                <c:pt idx="220">
                  <c:v>398.9</c:v>
                </c:pt>
                <c:pt idx="221">
                  <c:v>398.9</c:v>
                </c:pt>
                <c:pt idx="222">
                  <c:v>398.9</c:v>
                </c:pt>
                <c:pt idx="223">
                  <c:v>398.9</c:v>
                </c:pt>
                <c:pt idx="224">
                  <c:v>398.9</c:v>
                </c:pt>
                <c:pt idx="225">
                  <c:v>398.9</c:v>
                </c:pt>
                <c:pt idx="226">
                  <c:v>399</c:v>
                </c:pt>
                <c:pt idx="227">
                  <c:v>399</c:v>
                </c:pt>
                <c:pt idx="228">
                  <c:v>399</c:v>
                </c:pt>
                <c:pt idx="229">
                  <c:v>399</c:v>
                </c:pt>
                <c:pt idx="230">
                  <c:v>399</c:v>
                </c:pt>
                <c:pt idx="231">
                  <c:v>399</c:v>
                </c:pt>
                <c:pt idx="232">
                  <c:v>399</c:v>
                </c:pt>
                <c:pt idx="233">
                  <c:v>399</c:v>
                </c:pt>
                <c:pt idx="234">
                  <c:v>399</c:v>
                </c:pt>
                <c:pt idx="235">
                  <c:v>399</c:v>
                </c:pt>
                <c:pt idx="236">
                  <c:v>399.1</c:v>
                </c:pt>
                <c:pt idx="237">
                  <c:v>399.1</c:v>
                </c:pt>
                <c:pt idx="238">
                  <c:v>399.1</c:v>
                </c:pt>
                <c:pt idx="239">
                  <c:v>399.1</c:v>
                </c:pt>
                <c:pt idx="240">
                  <c:v>399.1</c:v>
                </c:pt>
                <c:pt idx="241">
                  <c:v>399.1</c:v>
                </c:pt>
                <c:pt idx="242">
                  <c:v>399.1</c:v>
                </c:pt>
                <c:pt idx="243">
                  <c:v>399.1</c:v>
                </c:pt>
                <c:pt idx="244">
                  <c:v>399.1</c:v>
                </c:pt>
                <c:pt idx="245">
                  <c:v>399.1</c:v>
                </c:pt>
                <c:pt idx="246">
                  <c:v>399.1</c:v>
                </c:pt>
                <c:pt idx="247">
                  <c:v>399.1</c:v>
                </c:pt>
                <c:pt idx="248">
                  <c:v>399.2</c:v>
                </c:pt>
                <c:pt idx="249">
                  <c:v>399.2</c:v>
                </c:pt>
                <c:pt idx="250">
                  <c:v>399.2</c:v>
                </c:pt>
                <c:pt idx="251">
                  <c:v>399.2</c:v>
                </c:pt>
                <c:pt idx="252">
                  <c:v>399.2</c:v>
                </c:pt>
                <c:pt idx="253">
                  <c:v>399.2</c:v>
                </c:pt>
                <c:pt idx="254">
                  <c:v>399.2</c:v>
                </c:pt>
                <c:pt idx="255">
                  <c:v>399.2</c:v>
                </c:pt>
                <c:pt idx="256">
                  <c:v>399.2</c:v>
                </c:pt>
                <c:pt idx="257">
                  <c:v>399.2</c:v>
                </c:pt>
                <c:pt idx="258">
                  <c:v>399.3</c:v>
                </c:pt>
                <c:pt idx="259">
                  <c:v>399.3</c:v>
                </c:pt>
                <c:pt idx="260">
                  <c:v>399.3</c:v>
                </c:pt>
                <c:pt idx="261">
                  <c:v>399.3</c:v>
                </c:pt>
                <c:pt idx="262">
                  <c:v>399.3</c:v>
                </c:pt>
                <c:pt idx="263">
                  <c:v>399.3</c:v>
                </c:pt>
                <c:pt idx="264">
                  <c:v>399.3</c:v>
                </c:pt>
                <c:pt idx="265">
                  <c:v>399.3</c:v>
                </c:pt>
                <c:pt idx="266">
                  <c:v>399.3</c:v>
                </c:pt>
                <c:pt idx="267">
                  <c:v>399.3</c:v>
                </c:pt>
                <c:pt idx="268">
                  <c:v>399.4</c:v>
                </c:pt>
                <c:pt idx="269">
                  <c:v>399.4</c:v>
                </c:pt>
                <c:pt idx="270">
                  <c:v>399.4</c:v>
                </c:pt>
                <c:pt idx="271">
                  <c:v>399.4</c:v>
                </c:pt>
                <c:pt idx="272">
                  <c:v>399.4</c:v>
                </c:pt>
                <c:pt idx="273">
                  <c:v>399.4</c:v>
                </c:pt>
                <c:pt idx="274">
                  <c:v>399.4</c:v>
                </c:pt>
                <c:pt idx="275">
                  <c:v>399.4</c:v>
                </c:pt>
                <c:pt idx="276">
                  <c:v>399.4</c:v>
                </c:pt>
                <c:pt idx="277">
                  <c:v>399.4</c:v>
                </c:pt>
                <c:pt idx="278">
                  <c:v>399.4</c:v>
                </c:pt>
                <c:pt idx="279">
                  <c:v>399.4</c:v>
                </c:pt>
                <c:pt idx="280">
                  <c:v>399.4</c:v>
                </c:pt>
                <c:pt idx="281">
                  <c:v>399.4</c:v>
                </c:pt>
                <c:pt idx="282">
                  <c:v>399.4</c:v>
                </c:pt>
                <c:pt idx="283">
                  <c:v>399.5</c:v>
                </c:pt>
                <c:pt idx="284">
                  <c:v>399.5</c:v>
                </c:pt>
                <c:pt idx="285">
                  <c:v>399.5</c:v>
                </c:pt>
                <c:pt idx="286">
                  <c:v>399.5</c:v>
                </c:pt>
                <c:pt idx="287">
                  <c:v>399.5</c:v>
                </c:pt>
                <c:pt idx="288">
                  <c:v>399.5</c:v>
                </c:pt>
                <c:pt idx="289">
                  <c:v>399.5</c:v>
                </c:pt>
                <c:pt idx="290">
                  <c:v>399.5</c:v>
                </c:pt>
                <c:pt idx="291">
                  <c:v>399.5</c:v>
                </c:pt>
                <c:pt idx="292">
                  <c:v>399.5</c:v>
                </c:pt>
                <c:pt idx="293">
                  <c:v>399.5</c:v>
                </c:pt>
                <c:pt idx="294">
                  <c:v>399.6</c:v>
                </c:pt>
                <c:pt idx="295">
                  <c:v>399.6</c:v>
                </c:pt>
                <c:pt idx="296">
                  <c:v>399.6</c:v>
                </c:pt>
                <c:pt idx="297">
                  <c:v>399.6</c:v>
                </c:pt>
                <c:pt idx="298">
                  <c:v>399.6</c:v>
                </c:pt>
                <c:pt idx="299">
                  <c:v>399.7</c:v>
                </c:pt>
                <c:pt idx="300">
                  <c:v>399.7</c:v>
                </c:pt>
                <c:pt idx="301">
                  <c:v>399.7</c:v>
                </c:pt>
                <c:pt idx="302">
                  <c:v>399.7</c:v>
                </c:pt>
                <c:pt idx="303">
                  <c:v>399.7</c:v>
                </c:pt>
                <c:pt idx="304">
                  <c:v>399.7</c:v>
                </c:pt>
                <c:pt idx="305">
                  <c:v>399.7</c:v>
                </c:pt>
                <c:pt idx="306">
                  <c:v>399.7</c:v>
                </c:pt>
                <c:pt idx="307">
                  <c:v>399.8</c:v>
                </c:pt>
                <c:pt idx="308">
                  <c:v>399.8</c:v>
                </c:pt>
                <c:pt idx="309">
                  <c:v>399.8</c:v>
                </c:pt>
                <c:pt idx="310">
                  <c:v>399.8</c:v>
                </c:pt>
                <c:pt idx="311">
                  <c:v>399.8</c:v>
                </c:pt>
                <c:pt idx="312">
                  <c:v>399.9</c:v>
                </c:pt>
                <c:pt idx="313">
                  <c:v>399.9</c:v>
                </c:pt>
                <c:pt idx="314">
                  <c:v>399.9</c:v>
                </c:pt>
                <c:pt idx="315">
                  <c:v>399.9</c:v>
                </c:pt>
                <c:pt idx="316">
                  <c:v>399.9</c:v>
                </c:pt>
                <c:pt idx="317">
                  <c:v>399.9</c:v>
                </c:pt>
                <c:pt idx="318">
                  <c:v>399.9</c:v>
                </c:pt>
                <c:pt idx="319">
                  <c:v>399.9</c:v>
                </c:pt>
                <c:pt idx="320">
                  <c:v>399.9</c:v>
                </c:pt>
                <c:pt idx="321">
                  <c:v>399.9</c:v>
                </c:pt>
                <c:pt idx="322">
                  <c:v>399.9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400.1</c:v>
                </c:pt>
                <c:pt idx="331">
                  <c:v>400.1</c:v>
                </c:pt>
                <c:pt idx="332">
                  <c:v>400.1</c:v>
                </c:pt>
                <c:pt idx="333">
                  <c:v>400.1</c:v>
                </c:pt>
                <c:pt idx="334">
                  <c:v>400.1</c:v>
                </c:pt>
                <c:pt idx="335">
                  <c:v>400.2</c:v>
                </c:pt>
                <c:pt idx="336">
                  <c:v>400.2</c:v>
                </c:pt>
                <c:pt idx="337">
                  <c:v>400.2</c:v>
                </c:pt>
                <c:pt idx="338">
                  <c:v>400.2</c:v>
                </c:pt>
                <c:pt idx="339">
                  <c:v>400.2</c:v>
                </c:pt>
                <c:pt idx="340">
                  <c:v>400.2</c:v>
                </c:pt>
                <c:pt idx="341">
                  <c:v>400.2</c:v>
                </c:pt>
                <c:pt idx="342">
                  <c:v>400.2</c:v>
                </c:pt>
                <c:pt idx="343">
                  <c:v>400.2</c:v>
                </c:pt>
                <c:pt idx="344">
                  <c:v>400.2</c:v>
                </c:pt>
                <c:pt idx="345">
                  <c:v>400.3</c:v>
                </c:pt>
                <c:pt idx="346">
                  <c:v>400.3</c:v>
                </c:pt>
                <c:pt idx="347">
                  <c:v>400.3</c:v>
                </c:pt>
                <c:pt idx="348">
                  <c:v>400.3</c:v>
                </c:pt>
                <c:pt idx="349">
                  <c:v>400.3</c:v>
                </c:pt>
                <c:pt idx="350">
                  <c:v>400.3</c:v>
                </c:pt>
                <c:pt idx="351">
                  <c:v>400.4</c:v>
                </c:pt>
                <c:pt idx="352">
                  <c:v>400.4</c:v>
                </c:pt>
                <c:pt idx="353">
                  <c:v>400.4</c:v>
                </c:pt>
                <c:pt idx="354">
                  <c:v>400.4</c:v>
                </c:pt>
                <c:pt idx="355">
                  <c:v>400.4</c:v>
                </c:pt>
                <c:pt idx="356">
                  <c:v>400.4</c:v>
                </c:pt>
                <c:pt idx="357">
                  <c:v>400.4</c:v>
                </c:pt>
                <c:pt idx="358">
                  <c:v>400.4</c:v>
                </c:pt>
                <c:pt idx="359">
                  <c:v>400.4</c:v>
                </c:pt>
                <c:pt idx="360">
                  <c:v>400.4</c:v>
                </c:pt>
                <c:pt idx="361">
                  <c:v>400.4</c:v>
                </c:pt>
                <c:pt idx="362">
                  <c:v>400.4</c:v>
                </c:pt>
                <c:pt idx="363">
                  <c:v>400.4</c:v>
                </c:pt>
                <c:pt idx="364">
                  <c:v>400.4</c:v>
                </c:pt>
                <c:pt idx="365">
                  <c:v>400.4</c:v>
                </c:pt>
                <c:pt idx="366">
                  <c:v>400.4</c:v>
                </c:pt>
                <c:pt idx="367">
                  <c:v>400.4</c:v>
                </c:pt>
                <c:pt idx="368">
                  <c:v>400.4</c:v>
                </c:pt>
                <c:pt idx="369">
                  <c:v>400.4</c:v>
                </c:pt>
                <c:pt idx="370">
                  <c:v>400.5</c:v>
                </c:pt>
                <c:pt idx="371">
                  <c:v>400.5</c:v>
                </c:pt>
                <c:pt idx="372">
                  <c:v>400.5</c:v>
                </c:pt>
                <c:pt idx="373">
                  <c:v>400.5</c:v>
                </c:pt>
                <c:pt idx="374">
                  <c:v>400.5</c:v>
                </c:pt>
                <c:pt idx="375">
                  <c:v>400.5</c:v>
                </c:pt>
                <c:pt idx="376">
                  <c:v>400.5</c:v>
                </c:pt>
                <c:pt idx="377">
                  <c:v>400.5</c:v>
                </c:pt>
                <c:pt idx="378">
                  <c:v>400.5</c:v>
                </c:pt>
                <c:pt idx="379">
                  <c:v>400.5</c:v>
                </c:pt>
                <c:pt idx="380">
                  <c:v>400.5</c:v>
                </c:pt>
                <c:pt idx="381">
                  <c:v>400.5</c:v>
                </c:pt>
                <c:pt idx="382">
                  <c:v>400.5</c:v>
                </c:pt>
                <c:pt idx="383">
                  <c:v>400.5</c:v>
                </c:pt>
                <c:pt idx="384">
                  <c:v>400.6</c:v>
                </c:pt>
                <c:pt idx="385">
                  <c:v>400.6</c:v>
                </c:pt>
                <c:pt idx="386">
                  <c:v>400.6</c:v>
                </c:pt>
                <c:pt idx="387">
                  <c:v>400.6</c:v>
                </c:pt>
                <c:pt idx="388">
                  <c:v>400.6</c:v>
                </c:pt>
                <c:pt idx="389">
                  <c:v>400.6</c:v>
                </c:pt>
                <c:pt idx="390">
                  <c:v>400.6</c:v>
                </c:pt>
                <c:pt idx="391">
                  <c:v>400.6</c:v>
                </c:pt>
                <c:pt idx="392">
                  <c:v>400.6</c:v>
                </c:pt>
                <c:pt idx="393">
                  <c:v>400.6</c:v>
                </c:pt>
                <c:pt idx="394">
                  <c:v>400.6</c:v>
                </c:pt>
                <c:pt idx="395">
                  <c:v>400.6</c:v>
                </c:pt>
                <c:pt idx="396">
                  <c:v>400.6</c:v>
                </c:pt>
                <c:pt idx="397">
                  <c:v>400.6</c:v>
                </c:pt>
                <c:pt idx="398">
                  <c:v>400.6</c:v>
                </c:pt>
                <c:pt idx="399">
                  <c:v>400.6</c:v>
                </c:pt>
                <c:pt idx="400">
                  <c:v>400.6</c:v>
                </c:pt>
                <c:pt idx="401">
                  <c:v>400.7</c:v>
                </c:pt>
                <c:pt idx="402">
                  <c:v>400.7</c:v>
                </c:pt>
                <c:pt idx="403">
                  <c:v>400.7</c:v>
                </c:pt>
                <c:pt idx="404">
                  <c:v>400.7</c:v>
                </c:pt>
                <c:pt idx="405">
                  <c:v>400.7</c:v>
                </c:pt>
                <c:pt idx="406">
                  <c:v>400.7</c:v>
                </c:pt>
                <c:pt idx="407">
                  <c:v>400.7</c:v>
                </c:pt>
                <c:pt idx="408">
                  <c:v>400.7</c:v>
                </c:pt>
                <c:pt idx="409">
                  <c:v>400.7</c:v>
                </c:pt>
                <c:pt idx="410">
                  <c:v>400.7</c:v>
                </c:pt>
                <c:pt idx="411">
                  <c:v>400.7</c:v>
                </c:pt>
                <c:pt idx="412">
                  <c:v>400.7</c:v>
                </c:pt>
                <c:pt idx="413">
                  <c:v>400.7</c:v>
                </c:pt>
                <c:pt idx="414">
                  <c:v>400.7</c:v>
                </c:pt>
                <c:pt idx="415">
                  <c:v>400.7</c:v>
                </c:pt>
                <c:pt idx="416">
                  <c:v>400.8</c:v>
                </c:pt>
                <c:pt idx="417">
                  <c:v>400.8</c:v>
                </c:pt>
                <c:pt idx="418">
                  <c:v>400.8</c:v>
                </c:pt>
                <c:pt idx="419">
                  <c:v>400.8</c:v>
                </c:pt>
                <c:pt idx="420">
                  <c:v>400.8</c:v>
                </c:pt>
                <c:pt idx="421">
                  <c:v>400.8</c:v>
                </c:pt>
                <c:pt idx="422">
                  <c:v>400.8</c:v>
                </c:pt>
                <c:pt idx="423">
                  <c:v>400.8</c:v>
                </c:pt>
                <c:pt idx="424">
                  <c:v>400.8</c:v>
                </c:pt>
                <c:pt idx="425">
                  <c:v>400.8</c:v>
                </c:pt>
                <c:pt idx="426">
                  <c:v>400.8</c:v>
                </c:pt>
                <c:pt idx="427">
                  <c:v>400.8</c:v>
                </c:pt>
                <c:pt idx="428">
                  <c:v>400.8</c:v>
                </c:pt>
                <c:pt idx="429">
                  <c:v>400.9</c:v>
                </c:pt>
                <c:pt idx="430">
                  <c:v>400.9</c:v>
                </c:pt>
                <c:pt idx="431">
                  <c:v>400.9</c:v>
                </c:pt>
                <c:pt idx="432">
                  <c:v>400.9</c:v>
                </c:pt>
                <c:pt idx="433">
                  <c:v>400.9</c:v>
                </c:pt>
                <c:pt idx="434">
                  <c:v>400.9</c:v>
                </c:pt>
                <c:pt idx="435">
                  <c:v>400.9</c:v>
                </c:pt>
                <c:pt idx="436">
                  <c:v>400.9</c:v>
                </c:pt>
                <c:pt idx="437">
                  <c:v>400.9</c:v>
                </c:pt>
                <c:pt idx="438">
                  <c:v>400.9</c:v>
                </c:pt>
                <c:pt idx="439">
                  <c:v>400.9</c:v>
                </c:pt>
                <c:pt idx="440">
                  <c:v>400.9</c:v>
                </c:pt>
                <c:pt idx="441">
                  <c:v>400.9</c:v>
                </c:pt>
                <c:pt idx="442">
                  <c:v>400.9</c:v>
                </c:pt>
                <c:pt idx="443">
                  <c:v>400.9</c:v>
                </c:pt>
                <c:pt idx="444">
                  <c:v>400.9</c:v>
                </c:pt>
                <c:pt idx="445">
                  <c:v>400.9</c:v>
                </c:pt>
                <c:pt idx="446">
                  <c:v>401</c:v>
                </c:pt>
                <c:pt idx="447">
                  <c:v>401</c:v>
                </c:pt>
                <c:pt idx="448">
                  <c:v>401</c:v>
                </c:pt>
                <c:pt idx="449">
                  <c:v>401</c:v>
                </c:pt>
                <c:pt idx="450">
                  <c:v>401</c:v>
                </c:pt>
                <c:pt idx="451">
                  <c:v>401</c:v>
                </c:pt>
                <c:pt idx="452">
                  <c:v>401</c:v>
                </c:pt>
                <c:pt idx="453">
                  <c:v>401</c:v>
                </c:pt>
                <c:pt idx="454">
                  <c:v>401</c:v>
                </c:pt>
                <c:pt idx="455">
                  <c:v>401</c:v>
                </c:pt>
                <c:pt idx="456">
                  <c:v>401</c:v>
                </c:pt>
                <c:pt idx="457">
                  <c:v>401</c:v>
                </c:pt>
                <c:pt idx="458">
                  <c:v>401</c:v>
                </c:pt>
                <c:pt idx="459">
                  <c:v>401.1</c:v>
                </c:pt>
                <c:pt idx="460">
                  <c:v>401.1</c:v>
                </c:pt>
                <c:pt idx="461">
                  <c:v>401.1</c:v>
                </c:pt>
                <c:pt idx="462">
                  <c:v>401.1</c:v>
                </c:pt>
                <c:pt idx="463">
                  <c:v>401.1</c:v>
                </c:pt>
                <c:pt idx="464">
                  <c:v>401.1</c:v>
                </c:pt>
                <c:pt idx="465">
                  <c:v>401.1</c:v>
                </c:pt>
                <c:pt idx="466">
                  <c:v>401.1</c:v>
                </c:pt>
                <c:pt idx="467">
                  <c:v>401.1</c:v>
                </c:pt>
                <c:pt idx="468">
                  <c:v>401.1</c:v>
                </c:pt>
                <c:pt idx="469">
                  <c:v>401.1</c:v>
                </c:pt>
                <c:pt idx="470">
                  <c:v>401.1</c:v>
                </c:pt>
                <c:pt idx="471">
                  <c:v>401.1</c:v>
                </c:pt>
                <c:pt idx="472">
                  <c:v>401.1</c:v>
                </c:pt>
                <c:pt idx="473">
                  <c:v>401.1</c:v>
                </c:pt>
                <c:pt idx="474">
                  <c:v>401.1</c:v>
                </c:pt>
                <c:pt idx="475">
                  <c:v>401.1</c:v>
                </c:pt>
                <c:pt idx="476">
                  <c:v>401.1</c:v>
                </c:pt>
                <c:pt idx="477">
                  <c:v>401.1</c:v>
                </c:pt>
                <c:pt idx="478">
                  <c:v>401.1</c:v>
                </c:pt>
                <c:pt idx="479">
                  <c:v>401.1</c:v>
                </c:pt>
                <c:pt idx="480">
                  <c:v>401.1</c:v>
                </c:pt>
                <c:pt idx="481">
                  <c:v>401.1</c:v>
                </c:pt>
                <c:pt idx="482">
                  <c:v>401.2</c:v>
                </c:pt>
                <c:pt idx="483">
                  <c:v>401.2</c:v>
                </c:pt>
                <c:pt idx="484">
                  <c:v>401.2</c:v>
                </c:pt>
                <c:pt idx="485">
                  <c:v>401.2</c:v>
                </c:pt>
                <c:pt idx="486">
                  <c:v>401.2</c:v>
                </c:pt>
                <c:pt idx="487">
                  <c:v>401.2</c:v>
                </c:pt>
                <c:pt idx="488">
                  <c:v>401.2</c:v>
                </c:pt>
                <c:pt idx="489">
                  <c:v>401.2</c:v>
                </c:pt>
                <c:pt idx="490">
                  <c:v>401.2</c:v>
                </c:pt>
                <c:pt idx="491">
                  <c:v>401.2</c:v>
                </c:pt>
                <c:pt idx="492">
                  <c:v>401.2</c:v>
                </c:pt>
                <c:pt idx="493">
                  <c:v>401.2</c:v>
                </c:pt>
                <c:pt idx="494">
                  <c:v>401.2</c:v>
                </c:pt>
                <c:pt idx="495">
                  <c:v>401.2</c:v>
                </c:pt>
                <c:pt idx="496">
                  <c:v>401.2</c:v>
                </c:pt>
                <c:pt idx="497">
                  <c:v>401.2</c:v>
                </c:pt>
                <c:pt idx="498">
                  <c:v>401.2</c:v>
                </c:pt>
                <c:pt idx="499">
                  <c:v>401.2</c:v>
                </c:pt>
                <c:pt idx="500">
                  <c:v>401.2</c:v>
                </c:pt>
                <c:pt idx="501">
                  <c:v>401.2</c:v>
                </c:pt>
                <c:pt idx="502">
                  <c:v>401.2</c:v>
                </c:pt>
                <c:pt idx="503">
                  <c:v>401.2</c:v>
                </c:pt>
                <c:pt idx="504">
                  <c:v>401.2</c:v>
                </c:pt>
                <c:pt idx="505">
                  <c:v>401.2</c:v>
                </c:pt>
                <c:pt idx="506">
                  <c:v>401.2</c:v>
                </c:pt>
                <c:pt idx="507">
                  <c:v>401.2</c:v>
                </c:pt>
                <c:pt idx="508">
                  <c:v>401.2</c:v>
                </c:pt>
                <c:pt idx="509">
                  <c:v>401.2</c:v>
                </c:pt>
                <c:pt idx="510">
                  <c:v>401.3</c:v>
                </c:pt>
                <c:pt idx="511">
                  <c:v>401.3</c:v>
                </c:pt>
                <c:pt idx="512">
                  <c:v>401.3</c:v>
                </c:pt>
                <c:pt idx="513">
                  <c:v>401.3</c:v>
                </c:pt>
                <c:pt idx="514">
                  <c:v>401.3</c:v>
                </c:pt>
                <c:pt idx="515">
                  <c:v>401.3</c:v>
                </c:pt>
                <c:pt idx="516">
                  <c:v>401.3</c:v>
                </c:pt>
                <c:pt idx="517">
                  <c:v>401.3</c:v>
                </c:pt>
                <c:pt idx="518">
                  <c:v>401.3</c:v>
                </c:pt>
                <c:pt idx="519">
                  <c:v>401.3</c:v>
                </c:pt>
                <c:pt idx="520">
                  <c:v>401.3</c:v>
                </c:pt>
                <c:pt idx="521">
                  <c:v>401.3</c:v>
                </c:pt>
                <c:pt idx="522">
                  <c:v>401.3</c:v>
                </c:pt>
                <c:pt idx="523">
                  <c:v>401.3</c:v>
                </c:pt>
                <c:pt idx="524">
                  <c:v>401.3</c:v>
                </c:pt>
                <c:pt idx="525">
                  <c:v>401.3</c:v>
                </c:pt>
                <c:pt idx="526">
                  <c:v>401.3</c:v>
                </c:pt>
                <c:pt idx="527">
                  <c:v>401.3</c:v>
                </c:pt>
                <c:pt idx="528">
                  <c:v>401.3</c:v>
                </c:pt>
                <c:pt idx="529">
                  <c:v>401.3</c:v>
                </c:pt>
                <c:pt idx="530">
                  <c:v>401.3</c:v>
                </c:pt>
                <c:pt idx="531">
                  <c:v>401.3</c:v>
                </c:pt>
                <c:pt idx="532">
                  <c:v>401.3</c:v>
                </c:pt>
                <c:pt idx="533">
                  <c:v>401.3</c:v>
                </c:pt>
                <c:pt idx="534">
                  <c:v>401.3</c:v>
                </c:pt>
                <c:pt idx="535">
                  <c:v>401.4</c:v>
                </c:pt>
                <c:pt idx="536">
                  <c:v>401.4</c:v>
                </c:pt>
                <c:pt idx="537">
                  <c:v>401.4</c:v>
                </c:pt>
                <c:pt idx="538">
                  <c:v>401.4</c:v>
                </c:pt>
                <c:pt idx="539">
                  <c:v>401.4</c:v>
                </c:pt>
                <c:pt idx="540">
                  <c:v>401.4</c:v>
                </c:pt>
                <c:pt idx="541">
                  <c:v>401.4</c:v>
                </c:pt>
                <c:pt idx="542">
                  <c:v>401.4</c:v>
                </c:pt>
                <c:pt idx="543">
                  <c:v>401.4</c:v>
                </c:pt>
                <c:pt idx="544">
                  <c:v>401.4</c:v>
                </c:pt>
                <c:pt idx="545">
                  <c:v>401.4</c:v>
                </c:pt>
                <c:pt idx="546">
                  <c:v>401.4</c:v>
                </c:pt>
                <c:pt idx="547">
                  <c:v>401.4</c:v>
                </c:pt>
                <c:pt idx="548">
                  <c:v>401.4</c:v>
                </c:pt>
                <c:pt idx="549">
                  <c:v>401.4</c:v>
                </c:pt>
                <c:pt idx="550">
                  <c:v>401.4</c:v>
                </c:pt>
                <c:pt idx="551">
                  <c:v>401.4</c:v>
                </c:pt>
                <c:pt idx="552">
                  <c:v>401.4</c:v>
                </c:pt>
                <c:pt idx="553">
                  <c:v>401.4</c:v>
                </c:pt>
                <c:pt idx="554">
                  <c:v>401.4</c:v>
                </c:pt>
                <c:pt idx="555">
                  <c:v>401.4</c:v>
                </c:pt>
                <c:pt idx="556">
                  <c:v>401.4</c:v>
                </c:pt>
                <c:pt idx="557">
                  <c:v>401.5</c:v>
                </c:pt>
                <c:pt idx="558">
                  <c:v>401.5</c:v>
                </c:pt>
                <c:pt idx="559">
                  <c:v>401.5</c:v>
                </c:pt>
                <c:pt idx="560">
                  <c:v>401.5</c:v>
                </c:pt>
                <c:pt idx="561">
                  <c:v>401.5</c:v>
                </c:pt>
                <c:pt idx="562">
                  <c:v>401.5</c:v>
                </c:pt>
                <c:pt idx="563">
                  <c:v>401.5</c:v>
                </c:pt>
                <c:pt idx="564">
                  <c:v>401.5</c:v>
                </c:pt>
                <c:pt idx="565">
                  <c:v>401.5</c:v>
                </c:pt>
                <c:pt idx="566">
                  <c:v>401.5</c:v>
                </c:pt>
                <c:pt idx="567">
                  <c:v>401.5</c:v>
                </c:pt>
                <c:pt idx="568">
                  <c:v>401.5</c:v>
                </c:pt>
                <c:pt idx="569">
                  <c:v>401.5</c:v>
                </c:pt>
                <c:pt idx="570">
                  <c:v>401.5</c:v>
                </c:pt>
                <c:pt idx="571">
                  <c:v>401.5</c:v>
                </c:pt>
                <c:pt idx="572">
                  <c:v>401.5</c:v>
                </c:pt>
                <c:pt idx="573">
                  <c:v>401.5</c:v>
                </c:pt>
                <c:pt idx="574">
                  <c:v>401.5</c:v>
                </c:pt>
                <c:pt idx="575">
                  <c:v>401.5</c:v>
                </c:pt>
                <c:pt idx="576">
                  <c:v>401.5</c:v>
                </c:pt>
                <c:pt idx="577">
                  <c:v>401.5</c:v>
                </c:pt>
                <c:pt idx="578">
                  <c:v>401.6</c:v>
                </c:pt>
                <c:pt idx="579">
                  <c:v>401.6</c:v>
                </c:pt>
                <c:pt idx="580">
                  <c:v>401.6</c:v>
                </c:pt>
                <c:pt idx="581">
                  <c:v>401.6</c:v>
                </c:pt>
                <c:pt idx="582">
                  <c:v>401.6</c:v>
                </c:pt>
                <c:pt idx="583">
                  <c:v>401.6</c:v>
                </c:pt>
                <c:pt idx="584">
                  <c:v>401.6</c:v>
                </c:pt>
                <c:pt idx="585">
                  <c:v>401.6</c:v>
                </c:pt>
                <c:pt idx="586">
                  <c:v>401.6</c:v>
                </c:pt>
                <c:pt idx="587">
                  <c:v>401.6</c:v>
                </c:pt>
                <c:pt idx="588">
                  <c:v>401.6</c:v>
                </c:pt>
                <c:pt idx="589">
                  <c:v>401.6</c:v>
                </c:pt>
                <c:pt idx="590">
                  <c:v>401.6</c:v>
                </c:pt>
                <c:pt idx="591">
                  <c:v>401.6</c:v>
                </c:pt>
                <c:pt idx="592">
                  <c:v>401.6</c:v>
                </c:pt>
                <c:pt idx="593">
                  <c:v>401.6</c:v>
                </c:pt>
                <c:pt idx="594">
                  <c:v>401.6</c:v>
                </c:pt>
                <c:pt idx="595">
                  <c:v>401.6</c:v>
                </c:pt>
                <c:pt idx="596">
                  <c:v>401.6</c:v>
                </c:pt>
                <c:pt idx="597">
                  <c:v>401.6</c:v>
                </c:pt>
                <c:pt idx="598">
                  <c:v>401.6</c:v>
                </c:pt>
                <c:pt idx="599">
                  <c:v>401.6</c:v>
                </c:pt>
                <c:pt idx="600">
                  <c:v>401.6</c:v>
                </c:pt>
                <c:pt idx="601">
                  <c:v>401.6</c:v>
                </c:pt>
                <c:pt idx="602">
                  <c:v>401.6</c:v>
                </c:pt>
                <c:pt idx="603">
                  <c:v>401.7</c:v>
                </c:pt>
                <c:pt idx="604">
                  <c:v>401.7</c:v>
                </c:pt>
                <c:pt idx="605">
                  <c:v>401.7</c:v>
                </c:pt>
                <c:pt idx="606">
                  <c:v>401.7</c:v>
                </c:pt>
                <c:pt idx="607">
                  <c:v>401.7</c:v>
                </c:pt>
                <c:pt idx="608">
                  <c:v>401.7</c:v>
                </c:pt>
                <c:pt idx="609">
                  <c:v>401.7</c:v>
                </c:pt>
                <c:pt idx="610">
                  <c:v>401.7</c:v>
                </c:pt>
                <c:pt idx="611">
                  <c:v>401.7</c:v>
                </c:pt>
                <c:pt idx="612">
                  <c:v>401.7</c:v>
                </c:pt>
                <c:pt idx="613">
                  <c:v>401.7</c:v>
                </c:pt>
                <c:pt idx="614">
                  <c:v>401.7</c:v>
                </c:pt>
                <c:pt idx="615">
                  <c:v>401.7</c:v>
                </c:pt>
                <c:pt idx="616">
                  <c:v>401.7</c:v>
                </c:pt>
                <c:pt idx="617">
                  <c:v>401.7</c:v>
                </c:pt>
                <c:pt idx="618">
                  <c:v>401.7</c:v>
                </c:pt>
                <c:pt idx="619">
                  <c:v>401.7</c:v>
                </c:pt>
                <c:pt idx="620">
                  <c:v>401.7</c:v>
                </c:pt>
                <c:pt idx="621">
                  <c:v>401.7</c:v>
                </c:pt>
                <c:pt idx="622">
                  <c:v>401.7</c:v>
                </c:pt>
                <c:pt idx="623">
                  <c:v>401.7</c:v>
                </c:pt>
                <c:pt idx="624">
                  <c:v>401.7</c:v>
                </c:pt>
                <c:pt idx="625">
                  <c:v>401.7</c:v>
                </c:pt>
                <c:pt idx="626">
                  <c:v>401.7</c:v>
                </c:pt>
                <c:pt idx="627">
                  <c:v>401.7</c:v>
                </c:pt>
                <c:pt idx="628">
                  <c:v>401.7</c:v>
                </c:pt>
                <c:pt idx="629">
                  <c:v>401.7</c:v>
                </c:pt>
                <c:pt idx="630">
                  <c:v>401.7</c:v>
                </c:pt>
                <c:pt idx="631">
                  <c:v>401.7</c:v>
                </c:pt>
                <c:pt idx="632">
                  <c:v>401.7</c:v>
                </c:pt>
                <c:pt idx="633">
                  <c:v>401.7</c:v>
                </c:pt>
                <c:pt idx="634">
                  <c:v>401.7</c:v>
                </c:pt>
                <c:pt idx="635">
                  <c:v>401.8</c:v>
                </c:pt>
                <c:pt idx="636">
                  <c:v>401.8</c:v>
                </c:pt>
                <c:pt idx="637">
                  <c:v>401.8</c:v>
                </c:pt>
                <c:pt idx="638">
                  <c:v>401.8</c:v>
                </c:pt>
                <c:pt idx="639">
                  <c:v>401.8</c:v>
                </c:pt>
                <c:pt idx="640">
                  <c:v>401.8</c:v>
                </c:pt>
                <c:pt idx="641">
                  <c:v>401.8</c:v>
                </c:pt>
                <c:pt idx="642">
                  <c:v>401.8</c:v>
                </c:pt>
                <c:pt idx="643">
                  <c:v>401.8</c:v>
                </c:pt>
                <c:pt idx="644">
                  <c:v>401.8</c:v>
                </c:pt>
                <c:pt idx="645">
                  <c:v>401.8</c:v>
                </c:pt>
                <c:pt idx="646">
                  <c:v>401.8</c:v>
                </c:pt>
                <c:pt idx="647">
                  <c:v>401.8</c:v>
                </c:pt>
                <c:pt idx="648">
                  <c:v>401.8</c:v>
                </c:pt>
                <c:pt idx="649">
                  <c:v>401.8</c:v>
                </c:pt>
                <c:pt idx="650">
                  <c:v>401.8</c:v>
                </c:pt>
                <c:pt idx="651">
                  <c:v>401.8</c:v>
                </c:pt>
                <c:pt idx="652">
                  <c:v>401.8</c:v>
                </c:pt>
                <c:pt idx="653">
                  <c:v>401.8</c:v>
                </c:pt>
                <c:pt idx="654">
                  <c:v>401.8</c:v>
                </c:pt>
                <c:pt idx="655">
                  <c:v>401.8</c:v>
                </c:pt>
                <c:pt idx="656">
                  <c:v>401.8</c:v>
                </c:pt>
                <c:pt idx="657">
                  <c:v>401.8</c:v>
                </c:pt>
                <c:pt idx="658">
                  <c:v>401.8</c:v>
                </c:pt>
                <c:pt idx="659">
                  <c:v>401.8</c:v>
                </c:pt>
                <c:pt idx="660">
                  <c:v>401.8</c:v>
                </c:pt>
                <c:pt idx="661">
                  <c:v>401.8</c:v>
                </c:pt>
                <c:pt idx="662">
                  <c:v>401.8</c:v>
                </c:pt>
                <c:pt idx="663">
                  <c:v>401.8</c:v>
                </c:pt>
                <c:pt idx="664">
                  <c:v>401.9</c:v>
                </c:pt>
                <c:pt idx="665">
                  <c:v>401.9</c:v>
                </c:pt>
                <c:pt idx="666">
                  <c:v>401.9</c:v>
                </c:pt>
                <c:pt idx="667">
                  <c:v>401.9</c:v>
                </c:pt>
                <c:pt idx="668">
                  <c:v>401.9</c:v>
                </c:pt>
                <c:pt idx="669">
                  <c:v>401.9</c:v>
                </c:pt>
                <c:pt idx="670">
                  <c:v>401.9</c:v>
                </c:pt>
                <c:pt idx="671">
                  <c:v>401.9</c:v>
                </c:pt>
                <c:pt idx="672">
                  <c:v>401.9</c:v>
                </c:pt>
                <c:pt idx="673">
                  <c:v>401.9</c:v>
                </c:pt>
                <c:pt idx="674">
                  <c:v>401.9</c:v>
                </c:pt>
                <c:pt idx="675">
                  <c:v>401.9</c:v>
                </c:pt>
                <c:pt idx="676">
                  <c:v>401.9</c:v>
                </c:pt>
                <c:pt idx="677">
                  <c:v>401.9</c:v>
                </c:pt>
                <c:pt idx="678">
                  <c:v>401.9</c:v>
                </c:pt>
                <c:pt idx="679">
                  <c:v>401.9</c:v>
                </c:pt>
                <c:pt idx="680">
                  <c:v>401.9</c:v>
                </c:pt>
                <c:pt idx="681">
                  <c:v>401.9</c:v>
                </c:pt>
                <c:pt idx="682">
                  <c:v>401.9</c:v>
                </c:pt>
                <c:pt idx="683">
                  <c:v>401.9</c:v>
                </c:pt>
                <c:pt idx="684">
                  <c:v>401.9</c:v>
                </c:pt>
                <c:pt idx="685">
                  <c:v>401.9</c:v>
                </c:pt>
                <c:pt idx="686">
                  <c:v>401.9</c:v>
                </c:pt>
                <c:pt idx="687">
                  <c:v>401.9</c:v>
                </c:pt>
                <c:pt idx="688">
                  <c:v>401.9</c:v>
                </c:pt>
                <c:pt idx="689">
                  <c:v>402</c:v>
                </c:pt>
                <c:pt idx="690">
                  <c:v>402</c:v>
                </c:pt>
                <c:pt idx="691">
                  <c:v>402</c:v>
                </c:pt>
                <c:pt idx="692">
                  <c:v>402</c:v>
                </c:pt>
                <c:pt idx="693">
                  <c:v>402</c:v>
                </c:pt>
                <c:pt idx="694">
                  <c:v>402</c:v>
                </c:pt>
                <c:pt idx="695">
                  <c:v>402</c:v>
                </c:pt>
                <c:pt idx="696">
                  <c:v>402</c:v>
                </c:pt>
                <c:pt idx="697">
                  <c:v>402</c:v>
                </c:pt>
                <c:pt idx="698">
                  <c:v>402</c:v>
                </c:pt>
                <c:pt idx="699">
                  <c:v>402</c:v>
                </c:pt>
                <c:pt idx="700">
                  <c:v>402</c:v>
                </c:pt>
                <c:pt idx="701">
                  <c:v>402</c:v>
                </c:pt>
                <c:pt idx="702">
                  <c:v>402</c:v>
                </c:pt>
                <c:pt idx="703">
                  <c:v>402</c:v>
                </c:pt>
                <c:pt idx="704">
                  <c:v>402</c:v>
                </c:pt>
                <c:pt idx="705">
                  <c:v>402</c:v>
                </c:pt>
                <c:pt idx="706">
                  <c:v>402</c:v>
                </c:pt>
                <c:pt idx="707">
                  <c:v>402</c:v>
                </c:pt>
                <c:pt idx="708">
                  <c:v>402.1</c:v>
                </c:pt>
                <c:pt idx="709">
                  <c:v>402.1</c:v>
                </c:pt>
                <c:pt idx="710">
                  <c:v>402.1</c:v>
                </c:pt>
                <c:pt idx="711">
                  <c:v>402.1</c:v>
                </c:pt>
                <c:pt idx="712">
                  <c:v>402.1</c:v>
                </c:pt>
                <c:pt idx="713">
                  <c:v>402.1</c:v>
                </c:pt>
                <c:pt idx="714">
                  <c:v>402.1</c:v>
                </c:pt>
                <c:pt idx="715">
                  <c:v>402.1</c:v>
                </c:pt>
                <c:pt idx="716">
                  <c:v>402.1</c:v>
                </c:pt>
                <c:pt idx="717">
                  <c:v>402.1</c:v>
                </c:pt>
                <c:pt idx="718">
                  <c:v>402.1</c:v>
                </c:pt>
                <c:pt idx="719">
                  <c:v>402.1</c:v>
                </c:pt>
                <c:pt idx="720">
                  <c:v>402.1</c:v>
                </c:pt>
                <c:pt idx="721">
                  <c:v>402.1</c:v>
                </c:pt>
                <c:pt idx="722">
                  <c:v>402.1</c:v>
                </c:pt>
                <c:pt idx="723">
                  <c:v>402.1</c:v>
                </c:pt>
                <c:pt idx="724">
                  <c:v>402.2</c:v>
                </c:pt>
                <c:pt idx="725">
                  <c:v>402.2</c:v>
                </c:pt>
                <c:pt idx="726">
                  <c:v>402.2</c:v>
                </c:pt>
                <c:pt idx="727">
                  <c:v>402.2</c:v>
                </c:pt>
                <c:pt idx="728">
                  <c:v>402.2</c:v>
                </c:pt>
                <c:pt idx="729">
                  <c:v>402.2</c:v>
                </c:pt>
                <c:pt idx="730">
                  <c:v>402.2</c:v>
                </c:pt>
                <c:pt idx="731">
                  <c:v>402.2</c:v>
                </c:pt>
                <c:pt idx="732">
                  <c:v>402.2</c:v>
                </c:pt>
                <c:pt idx="733">
                  <c:v>402.2</c:v>
                </c:pt>
                <c:pt idx="734">
                  <c:v>402.2</c:v>
                </c:pt>
                <c:pt idx="735">
                  <c:v>402.2</c:v>
                </c:pt>
                <c:pt idx="736">
                  <c:v>402.2</c:v>
                </c:pt>
                <c:pt idx="737">
                  <c:v>402.2</c:v>
                </c:pt>
                <c:pt idx="738">
                  <c:v>402.2</c:v>
                </c:pt>
                <c:pt idx="739">
                  <c:v>402.2</c:v>
                </c:pt>
                <c:pt idx="740">
                  <c:v>402.2</c:v>
                </c:pt>
                <c:pt idx="741">
                  <c:v>402.3</c:v>
                </c:pt>
                <c:pt idx="742">
                  <c:v>402.3</c:v>
                </c:pt>
                <c:pt idx="743">
                  <c:v>402.3</c:v>
                </c:pt>
                <c:pt idx="744">
                  <c:v>402.3</c:v>
                </c:pt>
                <c:pt idx="745">
                  <c:v>402.3</c:v>
                </c:pt>
                <c:pt idx="746">
                  <c:v>402.3</c:v>
                </c:pt>
                <c:pt idx="747">
                  <c:v>402.3</c:v>
                </c:pt>
                <c:pt idx="748">
                  <c:v>402.3</c:v>
                </c:pt>
                <c:pt idx="749">
                  <c:v>402.3</c:v>
                </c:pt>
                <c:pt idx="750">
                  <c:v>402.3</c:v>
                </c:pt>
                <c:pt idx="751">
                  <c:v>402.3</c:v>
                </c:pt>
                <c:pt idx="752">
                  <c:v>402.3</c:v>
                </c:pt>
                <c:pt idx="753">
                  <c:v>402.3</c:v>
                </c:pt>
                <c:pt idx="754">
                  <c:v>402.3</c:v>
                </c:pt>
                <c:pt idx="755">
                  <c:v>402.3</c:v>
                </c:pt>
                <c:pt idx="756">
                  <c:v>402.3</c:v>
                </c:pt>
                <c:pt idx="757">
                  <c:v>402.3</c:v>
                </c:pt>
                <c:pt idx="758">
                  <c:v>402.4</c:v>
                </c:pt>
                <c:pt idx="759">
                  <c:v>402.4</c:v>
                </c:pt>
                <c:pt idx="760">
                  <c:v>402.4</c:v>
                </c:pt>
                <c:pt idx="761">
                  <c:v>402.4</c:v>
                </c:pt>
                <c:pt idx="762">
                  <c:v>402.4</c:v>
                </c:pt>
                <c:pt idx="763">
                  <c:v>402.4</c:v>
                </c:pt>
                <c:pt idx="764">
                  <c:v>402.4</c:v>
                </c:pt>
                <c:pt idx="765">
                  <c:v>402.4</c:v>
                </c:pt>
                <c:pt idx="766">
                  <c:v>402.4</c:v>
                </c:pt>
                <c:pt idx="767">
                  <c:v>402.4</c:v>
                </c:pt>
                <c:pt idx="768">
                  <c:v>402.4</c:v>
                </c:pt>
                <c:pt idx="769">
                  <c:v>402.4</c:v>
                </c:pt>
                <c:pt idx="770">
                  <c:v>402.4</c:v>
                </c:pt>
                <c:pt idx="771">
                  <c:v>402.4</c:v>
                </c:pt>
                <c:pt idx="772">
                  <c:v>402.4</c:v>
                </c:pt>
                <c:pt idx="773">
                  <c:v>402.4</c:v>
                </c:pt>
                <c:pt idx="774">
                  <c:v>402.4</c:v>
                </c:pt>
                <c:pt idx="775">
                  <c:v>402.4</c:v>
                </c:pt>
                <c:pt idx="776">
                  <c:v>402.4</c:v>
                </c:pt>
                <c:pt idx="777">
                  <c:v>402.4</c:v>
                </c:pt>
                <c:pt idx="778">
                  <c:v>402.4</c:v>
                </c:pt>
                <c:pt idx="779">
                  <c:v>402.5</c:v>
                </c:pt>
                <c:pt idx="780">
                  <c:v>402.5</c:v>
                </c:pt>
                <c:pt idx="781">
                  <c:v>402.5</c:v>
                </c:pt>
                <c:pt idx="782">
                  <c:v>402.5</c:v>
                </c:pt>
                <c:pt idx="783">
                  <c:v>402.5</c:v>
                </c:pt>
                <c:pt idx="784">
                  <c:v>402.5</c:v>
                </c:pt>
                <c:pt idx="785">
                  <c:v>402.5</c:v>
                </c:pt>
                <c:pt idx="786">
                  <c:v>402.5</c:v>
                </c:pt>
                <c:pt idx="787">
                  <c:v>402.5</c:v>
                </c:pt>
                <c:pt idx="788">
                  <c:v>402.5</c:v>
                </c:pt>
                <c:pt idx="789">
                  <c:v>402.5</c:v>
                </c:pt>
                <c:pt idx="790">
                  <c:v>402.5</c:v>
                </c:pt>
                <c:pt idx="791">
                  <c:v>402.5</c:v>
                </c:pt>
                <c:pt idx="792">
                  <c:v>402.5</c:v>
                </c:pt>
                <c:pt idx="793">
                  <c:v>402.5</c:v>
                </c:pt>
                <c:pt idx="794">
                  <c:v>402.5</c:v>
                </c:pt>
                <c:pt idx="795">
                  <c:v>402.6</c:v>
                </c:pt>
                <c:pt idx="796">
                  <c:v>402.6</c:v>
                </c:pt>
                <c:pt idx="797">
                  <c:v>402.6</c:v>
                </c:pt>
                <c:pt idx="798">
                  <c:v>402.6</c:v>
                </c:pt>
                <c:pt idx="799">
                  <c:v>402.6</c:v>
                </c:pt>
                <c:pt idx="800">
                  <c:v>402.6</c:v>
                </c:pt>
                <c:pt idx="801">
                  <c:v>402.6</c:v>
                </c:pt>
                <c:pt idx="802">
                  <c:v>402.6</c:v>
                </c:pt>
                <c:pt idx="803">
                  <c:v>402.6</c:v>
                </c:pt>
                <c:pt idx="804">
                  <c:v>402.6</c:v>
                </c:pt>
                <c:pt idx="805">
                  <c:v>402.6</c:v>
                </c:pt>
                <c:pt idx="806">
                  <c:v>402.6</c:v>
                </c:pt>
                <c:pt idx="807">
                  <c:v>402.6</c:v>
                </c:pt>
                <c:pt idx="808">
                  <c:v>402.6</c:v>
                </c:pt>
                <c:pt idx="809">
                  <c:v>402.7</c:v>
                </c:pt>
                <c:pt idx="810">
                  <c:v>402.7</c:v>
                </c:pt>
                <c:pt idx="811">
                  <c:v>402.7</c:v>
                </c:pt>
                <c:pt idx="812">
                  <c:v>402.7</c:v>
                </c:pt>
                <c:pt idx="813">
                  <c:v>402.7</c:v>
                </c:pt>
                <c:pt idx="814">
                  <c:v>402.7</c:v>
                </c:pt>
                <c:pt idx="815">
                  <c:v>402.7</c:v>
                </c:pt>
                <c:pt idx="816">
                  <c:v>402.7</c:v>
                </c:pt>
                <c:pt idx="817">
                  <c:v>402.7</c:v>
                </c:pt>
                <c:pt idx="818">
                  <c:v>402.7</c:v>
                </c:pt>
                <c:pt idx="819">
                  <c:v>402.7</c:v>
                </c:pt>
                <c:pt idx="820">
                  <c:v>402.7</c:v>
                </c:pt>
                <c:pt idx="821">
                  <c:v>402.7</c:v>
                </c:pt>
                <c:pt idx="822">
                  <c:v>402.7</c:v>
                </c:pt>
                <c:pt idx="823">
                  <c:v>402.7</c:v>
                </c:pt>
                <c:pt idx="824">
                  <c:v>402.7</c:v>
                </c:pt>
                <c:pt idx="825">
                  <c:v>402.8</c:v>
                </c:pt>
                <c:pt idx="826">
                  <c:v>402.8</c:v>
                </c:pt>
                <c:pt idx="827">
                  <c:v>402.8</c:v>
                </c:pt>
                <c:pt idx="828">
                  <c:v>402.8</c:v>
                </c:pt>
                <c:pt idx="829">
                  <c:v>402.8</c:v>
                </c:pt>
                <c:pt idx="830">
                  <c:v>402.8</c:v>
                </c:pt>
                <c:pt idx="831">
                  <c:v>402.8</c:v>
                </c:pt>
                <c:pt idx="832">
                  <c:v>402.8</c:v>
                </c:pt>
                <c:pt idx="833">
                  <c:v>402.8</c:v>
                </c:pt>
                <c:pt idx="834">
                  <c:v>402.8</c:v>
                </c:pt>
                <c:pt idx="835">
                  <c:v>402.8</c:v>
                </c:pt>
                <c:pt idx="836">
                  <c:v>402.8</c:v>
                </c:pt>
                <c:pt idx="837">
                  <c:v>402.8</c:v>
                </c:pt>
                <c:pt idx="838">
                  <c:v>402.8</c:v>
                </c:pt>
                <c:pt idx="839">
                  <c:v>402.9</c:v>
                </c:pt>
                <c:pt idx="840">
                  <c:v>402.9</c:v>
                </c:pt>
                <c:pt idx="841">
                  <c:v>402.9</c:v>
                </c:pt>
                <c:pt idx="842">
                  <c:v>402.9</c:v>
                </c:pt>
                <c:pt idx="843">
                  <c:v>402.9</c:v>
                </c:pt>
                <c:pt idx="844">
                  <c:v>402.9</c:v>
                </c:pt>
                <c:pt idx="845">
                  <c:v>402.9</c:v>
                </c:pt>
                <c:pt idx="846">
                  <c:v>402.9</c:v>
                </c:pt>
                <c:pt idx="847">
                  <c:v>402.9</c:v>
                </c:pt>
                <c:pt idx="848">
                  <c:v>403</c:v>
                </c:pt>
                <c:pt idx="849">
                  <c:v>403</c:v>
                </c:pt>
                <c:pt idx="850">
                  <c:v>403</c:v>
                </c:pt>
                <c:pt idx="851">
                  <c:v>403</c:v>
                </c:pt>
                <c:pt idx="852">
                  <c:v>403</c:v>
                </c:pt>
                <c:pt idx="853">
                  <c:v>403</c:v>
                </c:pt>
                <c:pt idx="854">
                  <c:v>403</c:v>
                </c:pt>
                <c:pt idx="855">
                  <c:v>403</c:v>
                </c:pt>
                <c:pt idx="856">
                  <c:v>403</c:v>
                </c:pt>
                <c:pt idx="857">
                  <c:v>403</c:v>
                </c:pt>
                <c:pt idx="858">
                  <c:v>403</c:v>
                </c:pt>
                <c:pt idx="859">
                  <c:v>403.1</c:v>
                </c:pt>
                <c:pt idx="860">
                  <c:v>403.1</c:v>
                </c:pt>
                <c:pt idx="861">
                  <c:v>403.1</c:v>
                </c:pt>
                <c:pt idx="862">
                  <c:v>403.1</c:v>
                </c:pt>
                <c:pt idx="863">
                  <c:v>403.1</c:v>
                </c:pt>
                <c:pt idx="864">
                  <c:v>403.1</c:v>
                </c:pt>
                <c:pt idx="865">
                  <c:v>403.1</c:v>
                </c:pt>
                <c:pt idx="866">
                  <c:v>403.1</c:v>
                </c:pt>
                <c:pt idx="867">
                  <c:v>403.1</c:v>
                </c:pt>
                <c:pt idx="868">
                  <c:v>403.2</c:v>
                </c:pt>
                <c:pt idx="869">
                  <c:v>403.2</c:v>
                </c:pt>
                <c:pt idx="870">
                  <c:v>403.2</c:v>
                </c:pt>
                <c:pt idx="871">
                  <c:v>403.2</c:v>
                </c:pt>
                <c:pt idx="872">
                  <c:v>403.2</c:v>
                </c:pt>
                <c:pt idx="873">
                  <c:v>403.2</c:v>
                </c:pt>
                <c:pt idx="874">
                  <c:v>403.2</c:v>
                </c:pt>
                <c:pt idx="875">
                  <c:v>403.2</c:v>
                </c:pt>
                <c:pt idx="876">
                  <c:v>403.2</c:v>
                </c:pt>
                <c:pt idx="877">
                  <c:v>403.2</c:v>
                </c:pt>
                <c:pt idx="878">
                  <c:v>403.3</c:v>
                </c:pt>
                <c:pt idx="879">
                  <c:v>403.3</c:v>
                </c:pt>
                <c:pt idx="880">
                  <c:v>403.3</c:v>
                </c:pt>
                <c:pt idx="881">
                  <c:v>403.3</c:v>
                </c:pt>
                <c:pt idx="882">
                  <c:v>403.3</c:v>
                </c:pt>
                <c:pt idx="883">
                  <c:v>403.3</c:v>
                </c:pt>
                <c:pt idx="884">
                  <c:v>403.3</c:v>
                </c:pt>
                <c:pt idx="885">
                  <c:v>403.3</c:v>
                </c:pt>
                <c:pt idx="886">
                  <c:v>403.3</c:v>
                </c:pt>
                <c:pt idx="887">
                  <c:v>403.3</c:v>
                </c:pt>
                <c:pt idx="888">
                  <c:v>403.3</c:v>
                </c:pt>
                <c:pt idx="889">
                  <c:v>403.3</c:v>
                </c:pt>
                <c:pt idx="890">
                  <c:v>403.4</c:v>
                </c:pt>
                <c:pt idx="891">
                  <c:v>403.4</c:v>
                </c:pt>
                <c:pt idx="892">
                  <c:v>403.4</c:v>
                </c:pt>
                <c:pt idx="893">
                  <c:v>403.4</c:v>
                </c:pt>
                <c:pt idx="894">
                  <c:v>403.4</c:v>
                </c:pt>
                <c:pt idx="895">
                  <c:v>403.4</c:v>
                </c:pt>
                <c:pt idx="896">
                  <c:v>403.4</c:v>
                </c:pt>
                <c:pt idx="897">
                  <c:v>403.4</c:v>
                </c:pt>
                <c:pt idx="898">
                  <c:v>403.5</c:v>
                </c:pt>
                <c:pt idx="899">
                  <c:v>403.5</c:v>
                </c:pt>
                <c:pt idx="900">
                  <c:v>403.5</c:v>
                </c:pt>
                <c:pt idx="901">
                  <c:v>403.5</c:v>
                </c:pt>
                <c:pt idx="902">
                  <c:v>403.6</c:v>
                </c:pt>
                <c:pt idx="903">
                  <c:v>403.6</c:v>
                </c:pt>
                <c:pt idx="904">
                  <c:v>403.6</c:v>
                </c:pt>
                <c:pt idx="905">
                  <c:v>403.6</c:v>
                </c:pt>
                <c:pt idx="906">
                  <c:v>403.6</c:v>
                </c:pt>
                <c:pt idx="907">
                  <c:v>403.6</c:v>
                </c:pt>
                <c:pt idx="908">
                  <c:v>403.6</c:v>
                </c:pt>
                <c:pt idx="909">
                  <c:v>403.6</c:v>
                </c:pt>
                <c:pt idx="910">
                  <c:v>403.6</c:v>
                </c:pt>
                <c:pt idx="911">
                  <c:v>403.6</c:v>
                </c:pt>
                <c:pt idx="912">
                  <c:v>403.6</c:v>
                </c:pt>
                <c:pt idx="913">
                  <c:v>403.6</c:v>
                </c:pt>
                <c:pt idx="914">
                  <c:v>403.7</c:v>
                </c:pt>
                <c:pt idx="915">
                  <c:v>403.7</c:v>
                </c:pt>
                <c:pt idx="916">
                  <c:v>403.7</c:v>
                </c:pt>
                <c:pt idx="917">
                  <c:v>403.7</c:v>
                </c:pt>
                <c:pt idx="918">
                  <c:v>403.7</c:v>
                </c:pt>
                <c:pt idx="919">
                  <c:v>403.7</c:v>
                </c:pt>
                <c:pt idx="920">
                  <c:v>403.7</c:v>
                </c:pt>
                <c:pt idx="921">
                  <c:v>403.8</c:v>
                </c:pt>
                <c:pt idx="922">
                  <c:v>403.8</c:v>
                </c:pt>
                <c:pt idx="923">
                  <c:v>403.8</c:v>
                </c:pt>
                <c:pt idx="924">
                  <c:v>403.8</c:v>
                </c:pt>
                <c:pt idx="925">
                  <c:v>403.8</c:v>
                </c:pt>
                <c:pt idx="926">
                  <c:v>403.9</c:v>
                </c:pt>
                <c:pt idx="927">
                  <c:v>403.9</c:v>
                </c:pt>
                <c:pt idx="928">
                  <c:v>403.9</c:v>
                </c:pt>
                <c:pt idx="929">
                  <c:v>404</c:v>
                </c:pt>
                <c:pt idx="930">
                  <c:v>404</c:v>
                </c:pt>
                <c:pt idx="931">
                  <c:v>404</c:v>
                </c:pt>
                <c:pt idx="932">
                  <c:v>404</c:v>
                </c:pt>
                <c:pt idx="933">
                  <c:v>404</c:v>
                </c:pt>
                <c:pt idx="934">
                  <c:v>404</c:v>
                </c:pt>
                <c:pt idx="935">
                  <c:v>404</c:v>
                </c:pt>
                <c:pt idx="936">
                  <c:v>404</c:v>
                </c:pt>
                <c:pt idx="937">
                  <c:v>404</c:v>
                </c:pt>
                <c:pt idx="938">
                  <c:v>404.1</c:v>
                </c:pt>
                <c:pt idx="939">
                  <c:v>404.1</c:v>
                </c:pt>
                <c:pt idx="940">
                  <c:v>404.1</c:v>
                </c:pt>
                <c:pt idx="941">
                  <c:v>404.1</c:v>
                </c:pt>
                <c:pt idx="942">
                  <c:v>404.1</c:v>
                </c:pt>
                <c:pt idx="943">
                  <c:v>404.1</c:v>
                </c:pt>
                <c:pt idx="944">
                  <c:v>404.1</c:v>
                </c:pt>
                <c:pt idx="945">
                  <c:v>404.2</c:v>
                </c:pt>
                <c:pt idx="946">
                  <c:v>404.2</c:v>
                </c:pt>
                <c:pt idx="947">
                  <c:v>404.2</c:v>
                </c:pt>
                <c:pt idx="948">
                  <c:v>404.3</c:v>
                </c:pt>
                <c:pt idx="949">
                  <c:v>404.3</c:v>
                </c:pt>
                <c:pt idx="950">
                  <c:v>404.3</c:v>
                </c:pt>
                <c:pt idx="951">
                  <c:v>404.3</c:v>
                </c:pt>
                <c:pt idx="952">
                  <c:v>404.3</c:v>
                </c:pt>
                <c:pt idx="953">
                  <c:v>404.4</c:v>
                </c:pt>
                <c:pt idx="954">
                  <c:v>404.4</c:v>
                </c:pt>
                <c:pt idx="955">
                  <c:v>404.4</c:v>
                </c:pt>
                <c:pt idx="956">
                  <c:v>404.5</c:v>
                </c:pt>
                <c:pt idx="957">
                  <c:v>404.6</c:v>
                </c:pt>
                <c:pt idx="958">
                  <c:v>404.6</c:v>
                </c:pt>
                <c:pt idx="959">
                  <c:v>404.6</c:v>
                </c:pt>
                <c:pt idx="960">
                  <c:v>404.6</c:v>
                </c:pt>
                <c:pt idx="961">
                  <c:v>404.7</c:v>
                </c:pt>
                <c:pt idx="962">
                  <c:v>404.8</c:v>
                </c:pt>
                <c:pt idx="963">
                  <c:v>404.9</c:v>
                </c:pt>
                <c:pt idx="964">
                  <c:v>404.9</c:v>
                </c:pt>
                <c:pt idx="965">
                  <c:v>404.9</c:v>
                </c:pt>
                <c:pt idx="966">
                  <c:v>404.9</c:v>
                </c:pt>
                <c:pt idx="967">
                  <c:v>404.9</c:v>
                </c:pt>
                <c:pt idx="968">
                  <c:v>405</c:v>
                </c:pt>
                <c:pt idx="969">
                  <c:v>405</c:v>
                </c:pt>
                <c:pt idx="970">
                  <c:v>405</c:v>
                </c:pt>
                <c:pt idx="971">
                  <c:v>405.1</c:v>
                </c:pt>
                <c:pt idx="972">
                  <c:v>405.1</c:v>
                </c:pt>
                <c:pt idx="973">
                  <c:v>405.1</c:v>
                </c:pt>
                <c:pt idx="974">
                  <c:v>405.1</c:v>
                </c:pt>
                <c:pt idx="975">
                  <c:v>405.2</c:v>
                </c:pt>
                <c:pt idx="976">
                  <c:v>405.2</c:v>
                </c:pt>
                <c:pt idx="977">
                  <c:v>405.2</c:v>
                </c:pt>
                <c:pt idx="978">
                  <c:v>405.2</c:v>
                </c:pt>
                <c:pt idx="979">
                  <c:v>405.3</c:v>
                </c:pt>
                <c:pt idx="980">
                  <c:v>405.4</c:v>
                </c:pt>
                <c:pt idx="981">
                  <c:v>405.5</c:v>
                </c:pt>
                <c:pt idx="982">
                  <c:v>405.5</c:v>
                </c:pt>
                <c:pt idx="983">
                  <c:v>405.5</c:v>
                </c:pt>
                <c:pt idx="984">
                  <c:v>405.6</c:v>
                </c:pt>
                <c:pt idx="985">
                  <c:v>405.6</c:v>
                </c:pt>
                <c:pt idx="986">
                  <c:v>405.6</c:v>
                </c:pt>
                <c:pt idx="987">
                  <c:v>405.6</c:v>
                </c:pt>
                <c:pt idx="988">
                  <c:v>405.7</c:v>
                </c:pt>
                <c:pt idx="989">
                  <c:v>405.7</c:v>
                </c:pt>
                <c:pt idx="990">
                  <c:v>405.7</c:v>
                </c:pt>
                <c:pt idx="991">
                  <c:v>405.7</c:v>
                </c:pt>
                <c:pt idx="992">
                  <c:v>405.8</c:v>
                </c:pt>
                <c:pt idx="993">
                  <c:v>405.9</c:v>
                </c:pt>
                <c:pt idx="994">
                  <c:v>405.9</c:v>
                </c:pt>
                <c:pt idx="995">
                  <c:v>405.9</c:v>
                </c:pt>
                <c:pt idx="996">
                  <c:v>406</c:v>
                </c:pt>
                <c:pt idx="997">
                  <c:v>406.1</c:v>
                </c:pt>
                <c:pt idx="998">
                  <c:v>406.1</c:v>
                </c:pt>
                <c:pt idx="999">
                  <c:v>407.8</c:v>
                </c:pt>
              </c:numCache>
            </c:numRef>
          </c:xVal>
          <c:yVal>
            <c:numRef>
              <c:f>Arkusz1!$G$2:$G$1001</c:f>
              <c:numCache>
                <c:formatCode>General</c:formatCode>
                <c:ptCount val="1000"/>
                <c:pt idx="0">
                  <c:v>9.99000999000999E-4</c:v>
                </c:pt>
                <c:pt idx="1">
                  <c:v>1.998001998001998E-3</c:v>
                </c:pt>
                <c:pt idx="2">
                  <c:v>2.997002997002997E-3</c:v>
                </c:pt>
                <c:pt idx="3">
                  <c:v>3.996003996003996E-3</c:v>
                </c:pt>
                <c:pt idx="4">
                  <c:v>4.995004995004995E-3</c:v>
                </c:pt>
                <c:pt idx="5">
                  <c:v>5.994005994005994E-3</c:v>
                </c:pt>
                <c:pt idx="6">
                  <c:v>6.993006993006993E-3</c:v>
                </c:pt>
                <c:pt idx="7">
                  <c:v>7.992007992007992E-3</c:v>
                </c:pt>
                <c:pt idx="8">
                  <c:v>8.9910089910089919E-3</c:v>
                </c:pt>
                <c:pt idx="9">
                  <c:v>9.99000999000999E-3</c:v>
                </c:pt>
                <c:pt idx="10">
                  <c:v>1.098901098901099E-2</c:v>
                </c:pt>
                <c:pt idx="11">
                  <c:v>1.1988011988011988E-2</c:v>
                </c:pt>
                <c:pt idx="12">
                  <c:v>1.2987012987012988E-2</c:v>
                </c:pt>
                <c:pt idx="13">
                  <c:v>1.3986013986013986E-2</c:v>
                </c:pt>
                <c:pt idx="14">
                  <c:v>1.4985014985014986E-2</c:v>
                </c:pt>
                <c:pt idx="15">
                  <c:v>1.5984015984015984E-2</c:v>
                </c:pt>
                <c:pt idx="16">
                  <c:v>1.6983016983016984E-2</c:v>
                </c:pt>
                <c:pt idx="17">
                  <c:v>1.7982017982017984E-2</c:v>
                </c:pt>
                <c:pt idx="18">
                  <c:v>1.898101898101898E-2</c:v>
                </c:pt>
                <c:pt idx="19">
                  <c:v>1.998001998001998E-2</c:v>
                </c:pt>
                <c:pt idx="20">
                  <c:v>2.097902097902098E-2</c:v>
                </c:pt>
                <c:pt idx="21">
                  <c:v>2.197802197802198E-2</c:v>
                </c:pt>
                <c:pt idx="22">
                  <c:v>2.2977022977022976E-2</c:v>
                </c:pt>
                <c:pt idx="23">
                  <c:v>2.3976023976023976E-2</c:v>
                </c:pt>
                <c:pt idx="24">
                  <c:v>2.4975024975024976E-2</c:v>
                </c:pt>
                <c:pt idx="25">
                  <c:v>2.5974025974025976E-2</c:v>
                </c:pt>
                <c:pt idx="26">
                  <c:v>2.6973026973026972E-2</c:v>
                </c:pt>
                <c:pt idx="27">
                  <c:v>2.7972027972027972E-2</c:v>
                </c:pt>
                <c:pt idx="28">
                  <c:v>2.8971028971028972E-2</c:v>
                </c:pt>
                <c:pt idx="29">
                  <c:v>2.9970029970029972E-2</c:v>
                </c:pt>
                <c:pt idx="30">
                  <c:v>3.0969030969030968E-2</c:v>
                </c:pt>
                <c:pt idx="31">
                  <c:v>3.1968031968031968E-2</c:v>
                </c:pt>
                <c:pt idx="32">
                  <c:v>3.2967032967032968E-2</c:v>
                </c:pt>
                <c:pt idx="33">
                  <c:v>3.3966033966033968E-2</c:v>
                </c:pt>
                <c:pt idx="34">
                  <c:v>3.4965034965034968E-2</c:v>
                </c:pt>
                <c:pt idx="35">
                  <c:v>3.5964035964035967E-2</c:v>
                </c:pt>
                <c:pt idx="36">
                  <c:v>3.696303696303696E-2</c:v>
                </c:pt>
                <c:pt idx="37">
                  <c:v>3.796203796203796E-2</c:v>
                </c:pt>
                <c:pt idx="38">
                  <c:v>3.896103896103896E-2</c:v>
                </c:pt>
                <c:pt idx="39">
                  <c:v>3.996003996003996E-2</c:v>
                </c:pt>
                <c:pt idx="40">
                  <c:v>4.095904095904096E-2</c:v>
                </c:pt>
                <c:pt idx="41">
                  <c:v>4.195804195804196E-2</c:v>
                </c:pt>
                <c:pt idx="42">
                  <c:v>4.295704295704296E-2</c:v>
                </c:pt>
                <c:pt idx="43">
                  <c:v>4.3956043956043959E-2</c:v>
                </c:pt>
                <c:pt idx="44">
                  <c:v>4.4955044955044952E-2</c:v>
                </c:pt>
                <c:pt idx="45">
                  <c:v>4.5954045954045952E-2</c:v>
                </c:pt>
                <c:pt idx="46">
                  <c:v>4.6953046953046952E-2</c:v>
                </c:pt>
                <c:pt idx="47">
                  <c:v>4.7952047952047952E-2</c:v>
                </c:pt>
                <c:pt idx="48">
                  <c:v>4.8951048951048952E-2</c:v>
                </c:pt>
                <c:pt idx="49">
                  <c:v>4.9950049950049952E-2</c:v>
                </c:pt>
                <c:pt idx="50">
                  <c:v>5.0949050949050952E-2</c:v>
                </c:pt>
                <c:pt idx="51">
                  <c:v>5.1948051948051951E-2</c:v>
                </c:pt>
                <c:pt idx="52">
                  <c:v>5.2947052947052944E-2</c:v>
                </c:pt>
                <c:pt idx="53">
                  <c:v>5.3946053946053944E-2</c:v>
                </c:pt>
                <c:pt idx="54">
                  <c:v>5.4945054945054944E-2</c:v>
                </c:pt>
                <c:pt idx="55">
                  <c:v>5.5944055944055944E-2</c:v>
                </c:pt>
                <c:pt idx="56">
                  <c:v>5.6943056943056944E-2</c:v>
                </c:pt>
                <c:pt idx="57">
                  <c:v>5.7942057942057944E-2</c:v>
                </c:pt>
                <c:pt idx="58">
                  <c:v>5.8941058941058944E-2</c:v>
                </c:pt>
                <c:pt idx="59">
                  <c:v>5.9940059940059943E-2</c:v>
                </c:pt>
                <c:pt idx="60">
                  <c:v>6.0939060939060936E-2</c:v>
                </c:pt>
                <c:pt idx="61">
                  <c:v>6.1938061938061936E-2</c:v>
                </c:pt>
                <c:pt idx="62">
                  <c:v>6.2937062937062943E-2</c:v>
                </c:pt>
                <c:pt idx="63">
                  <c:v>6.3936063936063936E-2</c:v>
                </c:pt>
                <c:pt idx="64">
                  <c:v>6.4935064935064929E-2</c:v>
                </c:pt>
                <c:pt idx="65">
                  <c:v>6.5934065934065936E-2</c:v>
                </c:pt>
                <c:pt idx="66">
                  <c:v>6.6933066933066929E-2</c:v>
                </c:pt>
                <c:pt idx="67">
                  <c:v>6.7932067932067935E-2</c:v>
                </c:pt>
                <c:pt idx="68">
                  <c:v>6.8931068931068928E-2</c:v>
                </c:pt>
                <c:pt idx="69">
                  <c:v>6.9930069930069935E-2</c:v>
                </c:pt>
                <c:pt idx="70">
                  <c:v>7.0929070929070928E-2</c:v>
                </c:pt>
                <c:pt idx="71">
                  <c:v>7.1928071928071935E-2</c:v>
                </c:pt>
                <c:pt idx="72">
                  <c:v>7.2927072927072928E-2</c:v>
                </c:pt>
                <c:pt idx="73">
                  <c:v>7.3926073926073921E-2</c:v>
                </c:pt>
                <c:pt idx="74">
                  <c:v>7.4925074925074928E-2</c:v>
                </c:pt>
                <c:pt idx="75">
                  <c:v>7.5924075924075921E-2</c:v>
                </c:pt>
                <c:pt idx="76">
                  <c:v>7.6923076923076927E-2</c:v>
                </c:pt>
                <c:pt idx="77">
                  <c:v>7.792207792207792E-2</c:v>
                </c:pt>
                <c:pt idx="78">
                  <c:v>7.8921078921078927E-2</c:v>
                </c:pt>
                <c:pt idx="79">
                  <c:v>7.992007992007992E-2</c:v>
                </c:pt>
                <c:pt idx="80">
                  <c:v>8.0919080919080913E-2</c:v>
                </c:pt>
                <c:pt idx="81">
                  <c:v>8.191808191808192E-2</c:v>
                </c:pt>
                <c:pt idx="82">
                  <c:v>8.2917082917082913E-2</c:v>
                </c:pt>
                <c:pt idx="83">
                  <c:v>8.3916083916083919E-2</c:v>
                </c:pt>
                <c:pt idx="84">
                  <c:v>8.4915084915084912E-2</c:v>
                </c:pt>
                <c:pt idx="85">
                  <c:v>8.5914085914085919E-2</c:v>
                </c:pt>
                <c:pt idx="86">
                  <c:v>8.6913086913086912E-2</c:v>
                </c:pt>
                <c:pt idx="87">
                  <c:v>8.7912087912087919E-2</c:v>
                </c:pt>
                <c:pt idx="88">
                  <c:v>8.8911088911088912E-2</c:v>
                </c:pt>
                <c:pt idx="89">
                  <c:v>8.9910089910089905E-2</c:v>
                </c:pt>
                <c:pt idx="90">
                  <c:v>9.0909090909090912E-2</c:v>
                </c:pt>
                <c:pt idx="91">
                  <c:v>9.1908091908091905E-2</c:v>
                </c:pt>
                <c:pt idx="92">
                  <c:v>9.2907092907092911E-2</c:v>
                </c:pt>
                <c:pt idx="93">
                  <c:v>9.3906093906093904E-2</c:v>
                </c:pt>
                <c:pt idx="94">
                  <c:v>9.4905094905094911E-2</c:v>
                </c:pt>
                <c:pt idx="95">
                  <c:v>9.5904095904095904E-2</c:v>
                </c:pt>
                <c:pt idx="96">
                  <c:v>9.6903096903096897E-2</c:v>
                </c:pt>
                <c:pt idx="97">
                  <c:v>9.7902097902097904E-2</c:v>
                </c:pt>
                <c:pt idx="98">
                  <c:v>9.8901098901098897E-2</c:v>
                </c:pt>
                <c:pt idx="99">
                  <c:v>9.9900099900099903E-2</c:v>
                </c:pt>
                <c:pt idx="100">
                  <c:v>0.1008991008991009</c:v>
                </c:pt>
                <c:pt idx="101">
                  <c:v>0.1018981018981019</c:v>
                </c:pt>
                <c:pt idx="102">
                  <c:v>0.1028971028971029</c:v>
                </c:pt>
                <c:pt idx="103">
                  <c:v>0.1038961038961039</c:v>
                </c:pt>
                <c:pt idx="104">
                  <c:v>0.1048951048951049</c:v>
                </c:pt>
                <c:pt idx="105">
                  <c:v>0.10589410589410589</c:v>
                </c:pt>
                <c:pt idx="106">
                  <c:v>0.1068931068931069</c:v>
                </c:pt>
                <c:pt idx="107">
                  <c:v>0.10789210789210789</c:v>
                </c:pt>
                <c:pt idx="108">
                  <c:v>0.1088911088911089</c:v>
                </c:pt>
                <c:pt idx="109">
                  <c:v>0.10989010989010989</c:v>
                </c:pt>
                <c:pt idx="110">
                  <c:v>0.1108891108891109</c:v>
                </c:pt>
                <c:pt idx="111">
                  <c:v>0.11188811188811189</c:v>
                </c:pt>
                <c:pt idx="112">
                  <c:v>0.11288711288711288</c:v>
                </c:pt>
                <c:pt idx="113">
                  <c:v>0.11388611388611389</c:v>
                </c:pt>
                <c:pt idx="114">
                  <c:v>0.11488511488511488</c:v>
                </c:pt>
                <c:pt idx="115">
                  <c:v>0.11588411588411589</c:v>
                </c:pt>
                <c:pt idx="116">
                  <c:v>0.11688311688311688</c:v>
                </c:pt>
                <c:pt idx="117">
                  <c:v>0.11788211788211789</c:v>
                </c:pt>
                <c:pt idx="118">
                  <c:v>0.11888111888111888</c:v>
                </c:pt>
                <c:pt idx="119">
                  <c:v>0.11988011988011989</c:v>
                </c:pt>
                <c:pt idx="120">
                  <c:v>0.12087912087912088</c:v>
                </c:pt>
                <c:pt idx="121">
                  <c:v>0.12187812187812187</c:v>
                </c:pt>
                <c:pt idx="122">
                  <c:v>0.12287712287712288</c:v>
                </c:pt>
                <c:pt idx="123">
                  <c:v>0.12387612387612387</c:v>
                </c:pt>
                <c:pt idx="124">
                  <c:v>0.12487512487512488</c:v>
                </c:pt>
                <c:pt idx="125">
                  <c:v>0.12587412587412589</c:v>
                </c:pt>
                <c:pt idx="126">
                  <c:v>0.12687312687312688</c:v>
                </c:pt>
                <c:pt idx="127">
                  <c:v>0.12787212787212787</c:v>
                </c:pt>
                <c:pt idx="128">
                  <c:v>0.12887112887112886</c:v>
                </c:pt>
                <c:pt idx="129">
                  <c:v>0.12987012987012986</c:v>
                </c:pt>
                <c:pt idx="130">
                  <c:v>0.13086913086913088</c:v>
                </c:pt>
                <c:pt idx="131">
                  <c:v>0.13186813186813187</c:v>
                </c:pt>
                <c:pt idx="132">
                  <c:v>0.13286713286713286</c:v>
                </c:pt>
                <c:pt idx="133">
                  <c:v>0.13386613386613386</c:v>
                </c:pt>
                <c:pt idx="134">
                  <c:v>0.13486513486513488</c:v>
                </c:pt>
                <c:pt idx="135">
                  <c:v>0.13586413586413587</c:v>
                </c:pt>
                <c:pt idx="136">
                  <c:v>0.13686313686313686</c:v>
                </c:pt>
                <c:pt idx="137">
                  <c:v>0.13786213786213786</c:v>
                </c:pt>
                <c:pt idx="138">
                  <c:v>0.13886113886113885</c:v>
                </c:pt>
                <c:pt idx="139">
                  <c:v>0.13986013986013987</c:v>
                </c:pt>
                <c:pt idx="140">
                  <c:v>0.14085914085914086</c:v>
                </c:pt>
                <c:pt idx="141">
                  <c:v>0.14185814185814186</c:v>
                </c:pt>
                <c:pt idx="142">
                  <c:v>0.14285714285714285</c:v>
                </c:pt>
                <c:pt idx="143">
                  <c:v>0.14385614385614387</c:v>
                </c:pt>
                <c:pt idx="144">
                  <c:v>0.14485514485514486</c:v>
                </c:pt>
                <c:pt idx="145">
                  <c:v>0.14585414585414586</c:v>
                </c:pt>
                <c:pt idx="146">
                  <c:v>0.14685314685314685</c:v>
                </c:pt>
                <c:pt idx="147">
                  <c:v>0.14785214785214784</c:v>
                </c:pt>
                <c:pt idx="148">
                  <c:v>0.14885114885114886</c:v>
                </c:pt>
                <c:pt idx="149">
                  <c:v>0.14985014985014986</c:v>
                </c:pt>
                <c:pt idx="150">
                  <c:v>0.15084915084915085</c:v>
                </c:pt>
                <c:pt idx="151">
                  <c:v>0.15184815184815184</c:v>
                </c:pt>
                <c:pt idx="152">
                  <c:v>0.15284715284715283</c:v>
                </c:pt>
                <c:pt idx="153">
                  <c:v>0.15384615384615385</c:v>
                </c:pt>
                <c:pt idx="154">
                  <c:v>0.15484515484515485</c:v>
                </c:pt>
                <c:pt idx="155">
                  <c:v>0.15584415584415584</c:v>
                </c:pt>
                <c:pt idx="156">
                  <c:v>0.15684315684315683</c:v>
                </c:pt>
                <c:pt idx="157">
                  <c:v>0.15784215784215785</c:v>
                </c:pt>
                <c:pt idx="158">
                  <c:v>0.15884115884115885</c:v>
                </c:pt>
                <c:pt idx="159">
                  <c:v>0.15984015984015984</c:v>
                </c:pt>
                <c:pt idx="160">
                  <c:v>0.16083916083916083</c:v>
                </c:pt>
                <c:pt idx="161">
                  <c:v>0.16183816183816183</c:v>
                </c:pt>
                <c:pt idx="162">
                  <c:v>0.16283716283716285</c:v>
                </c:pt>
                <c:pt idx="163">
                  <c:v>0.16383616383616384</c:v>
                </c:pt>
                <c:pt idx="164">
                  <c:v>0.16483516483516483</c:v>
                </c:pt>
                <c:pt idx="165">
                  <c:v>0.16583416583416583</c:v>
                </c:pt>
                <c:pt idx="166">
                  <c:v>0.16683316683316685</c:v>
                </c:pt>
                <c:pt idx="167">
                  <c:v>0.16783216783216784</c:v>
                </c:pt>
                <c:pt idx="168">
                  <c:v>0.16883116883116883</c:v>
                </c:pt>
                <c:pt idx="169">
                  <c:v>0.16983016983016982</c:v>
                </c:pt>
                <c:pt idx="170">
                  <c:v>0.17082917082917082</c:v>
                </c:pt>
                <c:pt idx="171">
                  <c:v>0.17182817182817184</c:v>
                </c:pt>
                <c:pt idx="172">
                  <c:v>0.17282717282717283</c:v>
                </c:pt>
                <c:pt idx="173">
                  <c:v>0.17382617382617382</c:v>
                </c:pt>
                <c:pt idx="174">
                  <c:v>0.17482517482517482</c:v>
                </c:pt>
                <c:pt idx="175">
                  <c:v>0.17582417582417584</c:v>
                </c:pt>
                <c:pt idx="176">
                  <c:v>0.17682317682317683</c:v>
                </c:pt>
                <c:pt idx="177">
                  <c:v>0.17782217782217782</c:v>
                </c:pt>
                <c:pt idx="178">
                  <c:v>0.17882117882117882</c:v>
                </c:pt>
                <c:pt idx="179">
                  <c:v>0.17982017982017981</c:v>
                </c:pt>
                <c:pt idx="180">
                  <c:v>0.18081918081918083</c:v>
                </c:pt>
                <c:pt idx="181">
                  <c:v>0.18181818181818182</c:v>
                </c:pt>
                <c:pt idx="182">
                  <c:v>0.18281718281718282</c:v>
                </c:pt>
                <c:pt idx="183">
                  <c:v>0.18381618381618381</c:v>
                </c:pt>
                <c:pt idx="184">
                  <c:v>0.1848151848151848</c:v>
                </c:pt>
                <c:pt idx="185">
                  <c:v>0.18581418581418582</c:v>
                </c:pt>
                <c:pt idx="186">
                  <c:v>0.18681318681318682</c:v>
                </c:pt>
                <c:pt idx="187">
                  <c:v>0.18781218781218781</c:v>
                </c:pt>
                <c:pt idx="188">
                  <c:v>0.1888111888111888</c:v>
                </c:pt>
                <c:pt idx="189">
                  <c:v>0.18981018981018982</c:v>
                </c:pt>
                <c:pt idx="190">
                  <c:v>0.19080919080919082</c:v>
                </c:pt>
                <c:pt idx="191">
                  <c:v>0.19180819180819181</c:v>
                </c:pt>
                <c:pt idx="192">
                  <c:v>0.1928071928071928</c:v>
                </c:pt>
                <c:pt idx="193">
                  <c:v>0.19380619380619379</c:v>
                </c:pt>
                <c:pt idx="194">
                  <c:v>0.19480519480519481</c:v>
                </c:pt>
                <c:pt idx="195">
                  <c:v>0.19580419580419581</c:v>
                </c:pt>
                <c:pt idx="196">
                  <c:v>0.1968031968031968</c:v>
                </c:pt>
                <c:pt idx="197">
                  <c:v>0.19780219780219779</c:v>
                </c:pt>
                <c:pt idx="198">
                  <c:v>0.19880119880119881</c:v>
                </c:pt>
                <c:pt idx="199">
                  <c:v>0.19980019980019981</c:v>
                </c:pt>
                <c:pt idx="200">
                  <c:v>0.2007992007992008</c:v>
                </c:pt>
                <c:pt idx="201">
                  <c:v>0.20179820179820179</c:v>
                </c:pt>
                <c:pt idx="202">
                  <c:v>0.20279720279720279</c:v>
                </c:pt>
                <c:pt idx="203">
                  <c:v>0.20379620379620381</c:v>
                </c:pt>
                <c:pt idx="204">
                  <c:v>0.2047952047952048</c:v>
                </c:pt>
                <c:pt idx="205">
                  <c:v>0.20579420579420579</c:v>
                </c:pt>
                <c:pt idx="206">
                  <c:v>0.20679320679320679</c:v>
                </c:pt>
                <c:pt idx="207">
                  <c:v>0.20779220779220781</c:v>
                </c:pt>
                <c:pt idx="208">
                  <c:v>0.2087912087912088</c:v>
                </c:pt>
                <c:pt idx="209">
                  <c:v>0.20979020979020979</c:v>
                </c:pt>
                <c:pt idx="210">
                  <c:v>0.21078921078921078</c:v>
                </c:pt>
                <c:pt idx="211">
                  <c:v>0.21178821178821178</c:v>
                </c:pt>
                <c:pt idx="212">
                  <c:v>0.2127872127872128</c:v>
                </c:pt>
                <c:pt idx="213">
                  <c:v>0.21378621378621379</c:v>
                </c:pt>
                <c:pt idx="214">
                  <c:v>0.21478521478521478</c:v>
                </c:pt>
                <c:pt idx="215">
                  <c:v>0.21578421578421578</c:v>
                </c:pt>
                <c:pt idx="216">
                  <c:v>0.21678321678321677</c:v>
                </c:pt>
                <c:pt idx="217">
                  <c:v>0.21778221778221779</c:v>
                </c:pt>
                <c:pt idx="218">
                  <c:v>0.21878121878121878</c:v>
                </c:pt>
                <c:pt idx="219">
                  <c:v>0.21978021978021978</c:v>
                </c:pt>
                <c:pt idx="220">
                  <c:v>0.22077922077922077</c:v>
                </c:pt>
                <c:pt idx="221">
                  <c:v>0.22177822177822179</c:v>
                </c:pt>
                <c:pt idx="222">
                  <c:v>0.22277722277722278</c:v>
                </c:pt>
                <c:pt idx="223">
                  <c:v>0.22377622377622378</c:v>
                </c:pt>
                <c:pt idx="224">
                  <c:v>0.22477522477522477</c:v>
                </c:pt>
                <c:pt idx="225">
                  <c:v>0.22577422577422576</c:v>
                </c:pt>
                <c:pt idx="226">
                  <c:v>0.22677322677322678</c:v>
                </c:pt>
                <c:pt idx="227">
                  <c:v>0.22777222777222778</c:v>
                </c:pt>
                <c:pt idx="228">
                  <c:v>0.22877122877122877</c:v>
                </c:pt>
                <c:pt idx="229">
                  <c:v>0.22977022977022976</c:v>
                </c:pt>
                <c:pt idx="230">
                  <c:v>0.23076923076923078</c:v>
                </c:pt>
                <c:pt idx="231">
                  <c:v>0.23176823176823177</c:v>
                </c:pt>
                <c:pt idx="232">
                  <c:v>0.23276723276723277</c:v>
                </c:pt>
                <c:pt idx="233">
                  <c:v>0.23376623376623376</c:v>
                </c:pt>
                <c:pt idx="234">
                  <c:v>0.23476523476523475</c:v>
                </c:pt>
                <c:pt idx="235">
                  <c:v>0.23576423576423577</c:v>
                </c:pt>
                <c:pt idx="236">
                  <c:v>0.23676323676323677</c:v>
                </c:pt>
                <c:pt idx="237">
                  <c:v>0.23776223776223776</c:v>
                </c:pt>
                <c:pt idx="238">
                  <c:v>0.23876123876123875</c:v>
                </c:pt>
                <c:pt idx="239">
                  <c:v>0.23976023976023977</c:v>
                </c:pt>
                <c:pt idx="240">
                  <c:v>0.24075924075924077</c:v>
                </c:pt>
                <c:pt idx="241">
                  <c:v>0.24175824175824176</c:v>
                </c:pt>
                <c:pt idx="242">
                  <c:v>0.24275724275724275</c:v>
                </c:pt>
                <c:pt idx="243">
                  <c:v>0.24375624375624375</c:v>
                </c:pt>
                <c:pt idx="244">
                  <c:v>0.24475524475524477</c:v>
                </c:pt>
                <c:pt idx="245">
                  <c:v>0.24575424575424576</c:v>
                </c:pt>
                <c:pt idx="246">
                  <c:v>0.24675324675324675</c:v>
                </c:pt>
                <c:pt idx="247">
                  <c:v>0.24775224775224775</c:v>
                </c:pt>
                <c:pt idx="248">
                  <c:v>0.24875124875124874</c:v>
                </c:pt>
                <c:pt idx="249">
                  <c:v>0.24975024975024976</c:v>
                </c:pt>
                <c:pt idx="250">
                  <c:v>0.25074925074925075</c:v>
                </c:pt>
                <c:pt idx="251">
                  <c:v>0.25174825174825177</c:v>
                </c:pt>
                <c:pt idx="252">
                  <c:v>0.25274725274725274</c:v>
                </c:pt>
                <c:pt idx="253">
                  <c:v>0.25374625374625376</c:v>
                </c:pt>
                <c:pt idx="254">
                  <c:v>0.25474525474525472</c:v>
                </c:pt>
                <c:pt idx="255">
                  <c:v>0.25574425574425574</c:v>
                </c:pt>
                <c:pt idx="256">
                  <c:v>0.25674325674325676</c:v>
                </c:pt>
                <c:pt idx="257">
                  <c:v>0.25774225774225773</c:v>
                </c:pt>
                <c:pt idx="258">
                  <c:v>0.25874125874125875</c:v>
                </c:pt>
                <c:pt idx="259">
                  <c:v>0.25974025974025972</c:v>
                </c:pt>
                <c:pt idx="260">
                  <c:v>0.26073926073926074</c:v>
                </c:pt>
                <c:pt idx="261">
                  <c:v>0.26173826173826176</c:v>
                </c:pt>
                <c:pt idx="262">
                  <c:v>0.26273726273726272</c:v>
                </c:pt>
                <c:pt idx="263">
                  <c:v>0.26373626373626374</c:v>
                </c:pt>
                <c:pt idx="264">
                  <c:v>0.26473526473526471</c:v>
                </c:pt>
                <c:pt idx="265">
                  <c:v>0.26573426573426573</c:v>
                </c:pt>
                <c:pt idx="266">
                  <c:v>0.26673326673326675</c:v>
                </c:pt>
                <c:pt idx="267">
                  <c:v>0.26773226773226771</c:v>
                </c:pt>
                <c:pt idx="268">
                  <c:v>0.26873126873126874</c:v>
                </c:pt>
                <c:pt idx="269">
                  <c:v>0.26973026973026976</c:v>
                </c:pt>
                <c:pt idx="270">
                  <c:v>0.27072927072927072</c:v>
                </c:pt>
                <c:pt idx="271">
                  <c:v>0.27172827172827174</c:v>
                </c:pt>
                <c:pt idx="272">
                  <c:v>0.27272727272727271</c:v>
                </c:pt>
                <c:pt idx="273">
                  <c:v>0.27372627372627373</c:v>
                </c:pt>
                <c:pt idx="274">
                  <c:v>0.27472527472527475</c:v>
                </c:pt>
                <c:pt idx="275">
                  <c:v>0.27572427572427571</c:v>
                </c:pt>
                <c:pt idx="276">
                  <c:v>0.27672327672327673</c:v>
                </c:pt>
                <c:pt idx="277">
                  <c:v>0.2777222777222777</c:v>
                </c:pt>
                <c:pt idx="278">
                  <c:v>0.27872127872127872</c:v>
                </c:pt>
                <c:pt idx="279">
                  <c:v>0.27972027972027974</c:v>
                </c:pt>
                <c:pt idx="280">
                  <c:v>0.28071928071928071</c:v>
                </c:pt>
                <c:pt idx="281">
                  <c:v>0.28171828171828173</c:v>
                </c:pt>
                <c:pt idx="282">
                  <c:v>0.28271728271728269</c:v>
                </c:pt>
                <c:pt idx="283">
                  <c:v>0.28371628371628371</c:v>
                </c:pt>
                <c:pt idx="284">
                  <c:v>0.28471528471528473</c:v>
                </c:pt>
                <c:pt idx="285">
                  <c:v>0.2857142857142857</c:v>
                </c:pt>
                <c:pt idx="286">
                  <c:v>0.28671328671328672</c:v>
                </c:pt>
                <c:pt idx="287">
                  <c:v>0.28771228771228774</c:v>
                </c:pt>
                <c:pt idx="288">
                  <c:v>0.2887112887112887</c:v>
                </c:pt>
                <c:pt idx="289">
                  <c:v>0.28971028971028973</c:v>
                </c:pt>
                <c:pt idx="290">
                  <c:v>0.29070929070929069</c:v>
                </c:pt>
                <c:pt idx="291">
                  <c:v>0.29170829170829171</c:v>
                </c:pt>
                <c:pt idx="292">
                  <c:v>0.29270729270729273</c:v>
                </c:pt>
                <c:pt idx="293">
                  <c:v>0.2937062937062937</c:v>
                </c:pt>
                <c:pt idx="294">
                  <c:v>0.29470529470529472</c:v>
                </c:pt>
                <c:pt idx="295">
                  <c:v>0.29570429570429568</c:v>
                </c:pt>
                <c:pt idx="296">
                  <c:v>0.2967032967032967</c:v>
                </c:pt>
                <c:pt idx="297">
                  <c:v>0.29770229770229772</c:v>
                </c:pt>
                <c:pt idx="298">
                  <c:v>0.29870129870129869</c:v>
                </c:pt>
                <c:pt idx="299">
                  <c:v>0.29970029970029971</c:v>
                </c:pt>
                <c:pt idx="300">
                  <c:v>0.30069930069930068</c:v>
                </c:pt>
                <c:pt idx="301">
                  <c:v>0.3016983016983017</c:v>
                </c:pt>
                <c:pt idx="302">
                  <c:v>0.30269730269730272</c:v>
                </c:pt>
                <c:pt idx="303">
                  <c:v>0.30369630369630368</c:v>
                </c:pt>
                <c:pt idx="304">
                  <c:v>0.3046953046953047</c:v>
                </c:pt>
                <c:pt idx="305">
                  <c:v>0.30569430569430567</c:v>
                </c:pt>
                <c:pt idx="306">
                  <c:v>0.30669330669330669</c:v>
                </c:pt>
                <c:pt idx="307">
                  <c:v>0.30769230769230771</c:v>
                </c:pt>
                <c:pt idx="308">
                  <c:v>0.30869130869130867</c:v>
                </c:pt>
                <c:pt idx="309">
                  <c:v>0.3096903096903097</c:v>
                </c:pt>
                <c:pt idx="310">
                  <c:v>0.31068931068931072</c:v>
                </c:pt>
                <c:pt idx="311">
                  <c:v>0.31168831168831168</c:v>
                </c:pt>
                <c:pt idx="312">
                  <c:v>0.3126873126873127</c:v>
                </c:pt>
                <c:pt idx="313">
                  <c:v>0.31368631368631367</c:v>
                </c:pt>
                <c:pt idx="314">
                  <c:v>0.31468531468531469</c:v>
                </c:pt>
                <c:pt idx="315">
                  <c:v>0.31568431568431571</c:v>
                </c:pt>
                <c:pt idx="316">
                  <c:v>0.31668331668331667</c:v>
                </c:pt>
                <c:pt idx="317">
                  <c:v>0.31768231768231769</c:v>
                </c:pt>
                <c:pt idx="318">
                  <c:v>0.31868131868131866</c:v>
                </c:pt>
                <c:pt idx="319">
                  <c:v>0.31968031968031968</c:v>
                </c:pt>
                <c:pt idx="320">
                  <c:v>0.3206793206793207</c:v>
                </c:pt>
                <c:pt idx="321">
                  <c:v>0.32167832167832167</c:v>
                </c:pt>
                <c:pt idx="322">
                  <c:v>0.32267732267732269</c:v>
                </c:pt>
                <c:pt idx="323">
                  <c:v>0.32367632367632365</c:v>
                </c:pt>
                <c:pt idx="324">
                  <c:v>0.32467532467532467</c:v>
                </c:pt>
                <c:pt idx="325">
                  <c:v>0.32567432567432569</c:v>
                </c:pt>
                <c:pt idx="326">
                  <c:v>0.32667332667332666</c:v>
                </c:pt>
                <c:pt idx="327">
                  <c:v>0.32767232767232768</c:v>
                </c:pt>
                <c:pt idx="328">
                  <c:v>0.32867132867132864</c:v>
                </c:pt>
                <c:pt idx="329">
                  <c:v>0.32967032967032966</c:v>
                </c:pt>
                <c:pt idx="330">
                  <c:v>0.33066933066933069</c:v>
                </c:pt>
                <c:pt idx="331">
                  <c:v>0.33166833166833165</c:v>
                </c:pt>
                <c:pt idx="332">
                  <c:v>0.33266733266733267</c:v>
                </c:pt>
                <c:pt idx="333">
                  <c:v>0.33366633366633369</c:v>
                </c:pt>
                <c:pt idx="334">
                  <c:v>0.33466533466533466</c:v>
                </c:pt>
                <c:pt idx="335">
                  <c:v>0.33566433566433568</c:v>
                </c:pt>
                <c:pt idx="336">
                  <c:v>0.33666333666333664</c:v>
                </c:pt>
                <c:pt idx="337">
                  <c:v>0.33766233766233766</c:v>
                </c:pt>
                <c:pt idx="338">
                  <c:v>0.33866133866133868</c:v>
                </c:pt>
                <c:pt idx="339">
                  <c:v>0.33966033966033965</c:v>
                </c:pt>
                <c:pt idx="340">
                  <c:v>0.34065934065934067</c:v>
                </c:pt>
                <c:pt idx="341">
                  <c:v>0.34165834165834164</c:v>
                </c:pt>
                <c:pt idx="342">
                  <c:v>0.34265734265734266</c:v>
                </c:pt>
                <c:pt idx="343">
                  <c:v>0.34365634365634368</c:v>
                </c:pt>
                <c:pt idx="344">
                  <c:v>0.34465534465534464</c:v>
                </c:pt>
                <c:pt idx="345">
                  <c:v>0.34565434565434566</c:v>
                </c:pt>
                <c:pt idx="346">
                  <c:v>0.34665334665334663</c:v>
                </c:pt>
                <c:pt idx="347">
                  <c:v>0.34765234765234765</c:v>
                </c:pt>
                <c:pt idx="348">
                  <c:v>0.34865134865134867</c:v>
                </c:pt>
                <c:pt idx="349">
                  <c:v>0.34965034965034963</c:v>
                </c:pt>
                <c:pt idx="350">
                  <c:v>0.35064935064935066</c:v>
                </c:pt>
                <c:pt idx="351">
                  <c:v>0.35164835164835168</c:v>
                </c:pt>
                <c:pt idx="352">
                  <c:v>0.35264735264735264</c:v>
                </c:pt>
                <c:pt idx="353">
                  <c:v>0.35364635364635366</c:v>
                </c:pt>
                <c:pt idx="354">
                  <c:v>0.35464535464535463</c:v>
                </c:pt>
                <c:pt idx="355">
                  <c:v>0.35564435564435565</c:v>
                </c:pt>
                <c:pt idx="356">
                  <c:v>0.35664335664335667</c:v>
                </c:pt>
                <c:pt idx="357">
                  <c:v>0.35764235764235763</c:v>
                </c:pt>
                <c:pt idx="358">
                  <c:v>0.35864135864135865</c:v>
                </c:pt>
                <c:pt idx="359">
                  <c:v>0.35964035964035962</c:v>
                </c:pt>
                <c:pt idx="360">
                  <c:v>0.36063936063936064</c:v>
                </c:pt>
                <c:pt idx="361">
                  <c:v>0.36163836163836166</c:v>
                </c:pt>
                <c:pt idx="362">
                  <c:v>0.36263736263736263</c:v>
                </c:pt>
                <c:pt idx="363">
                  <c:v>0.36363636363636365</c:v>
                </c:pt>
                <c:pt idx="364">
                  <c:v>0.36463536463536461</c:v>
                </c:pt>
                <c:pt idx="365">
                  <c:v>0.36563436563436563</c:v>
                </c:pt>
                <c:pt idx="366">
                  <c:v>0.36663336663336665</c:v>
                </c:pt>
                <c:pt idx="367">
                  <c:v>0.36763236763236762</c:v>
                </c:pt>
                <c:pt idx="368">
                  <c:v>0.36863136863136864</c:v>
                </c:pt>
                <c:pt idx="369">
                  <c:v>0.3696303696303696</c:v>
                </c:pt>
                <c:pt idx="370">
                  <c:v>0.37062937062937062</c:v>
                </c:pt>
                <c:pt idx="371">
                  <c:v>0.37162837162837165</c:v>
                </c:pt>
                <c:pt idx="372">
                  <c:v>0.37262737262737261</c:v>
                </c:pt>
                <c:pt idx="373">
                  <c:v>0.37362637362637363</c:v>
                </c:pt>
                <c:pt idx="374">
                  <c:v>0.37462537462537465</c:v>
                </c:pt>
                <c:pt idx="375">
                  <c:v>0.37562437562437562</c:v>
                </c:pt>
                <c:pt idx="376">
                  <c:v>0.37662337662337664</c:v>
                </c:pt>
                <c:pt idx="377">
                  <c:v>0.3776223776223776</c:v>
                </c:pt>
                <c:pt idx="378">
                  <c:v>0.37862137862137862</c:v>
                </c:pt>
                <c:pt idx="379">
                  <c:v>0.37962037962037964</c:v>
                </c:pt>
                <c:pt idx="380">
                  <c:v>0.38061938061938061</c:v>
                </c:pt>
                <c:pt idx="381">
                  <c:v>0.38161838161838163</c:v>
                </c:pt>
                <c:pt idx="382">
                  <c:v>0.3826173826173826</c:v>
                </c:pt>
                <c:pt idx="383">
                  <c:v>0.38361638361638362</c:v>
                </c:pt>
                <c:pt idx="384">
                  <c:v>0.38461538461538464</c:v>
                </c:pt>
                <c:pt idx="385">
                  <c:v>0.3856143856143856</c:v>
                </c:pt>
                <c:pt idx="386">
                  <c:v>0.38661338661338662</c:v>
                </c:pt>
                <c:pt idx="387">
                  <c:v>0.38761238761238759</c:v>
                </c:pt>
                <c:pt idx="388">
                  <c:v>0.38861138861138861</c:v>
                </c:pt>
                <c:pt idx="389">
                  <c:v>0.38961038961038963</c:v>
                </c:pt>
                <c:pt idx="390">
                  <c:v>0.39060939060939059</c:v>
                </c:pt>
                <c:pt idx="391">
                  <c:v>0.39160839160839161</c:v>
                </c:pt>
                <c:pt idx="392">
                  <c:v>0.39260739260739258</c:v>
                </c:pt>
                <c:pt idx="393">
                  <c:v>0.3936063936063936</c:v>
                </c:pt>
                <c:pt idx="394">
                  <c:v>0.39460539460539462</c:v>
                </c:pt>
                <c:pt idx="395">
                  <c:v>0.39560439560439559</c:v>
                </c:pt>
                <c:pt idx="396">
                  <c:v>0.39660339660339661</c:v>
                </c:pt>
                <c:pt idx="397">
                  <c:v>0.39760239760239763</c:v>
                </c:pt>
                <c:pt idx="398">
                  <c:v>0.39860139860139859</c:v>
                </c:pt>
                <c:pt idx="399">
                  <c:v>0.39960039960039961</c:v>
                </c:pt>
                <c:pt idx="400">
                  <c:v>0.40059940059940058</c:v>
                </c:pt>
                <c:pt idx="401">
                  <c:v>0.4015984015984016</c:v>
                </c:pt>
                <c:pt idx="402">
                  <c:v>0.40259740259740262</c:v>
                </c:pt>
                <c:pt idx="403">
                  <c:v>0.40359640359640359</c:v>
                </c:pt>
                <c:pt idx="404">
                  <c:v>0.40459540459540461</c:v>
                </c:pt>
                <c:pt idx="405">
                  <c:v>0.40559440559440557</c:v>
                </c:pt>
                <c:pt idx="406">
                  <c:v>0.40659340659340659</c:v>
                </c:pt>
                <c:pt idx="407">
                  <c:v>0.40759240759240761</c:v>
                </c:pt>
                <c:pt idx="408">
                  <c:v>0.40859140859140858</c:v>
                </c:pt>
                <c:pt idx="409">
                  <c:v>0.4095904095904096</c:v>
                </c:pt>
                <c:pt idx="410">
                  <c:v>0.41058941058941056</c:v>
                </c:pt>
                <c:pt idx="411">
                  <c:v>0.41158841158841158</c:v>
                </c:pt>
                <c:pt idx="412">
                  <c:v>0.41258741258741261</c:v>
                </c:pt>
                <c:pt idx="413">
                  <c:v>0.41358641358641357</c:v>
                </c:pt>
                <c:pt idx="414">
                  <c:v>0.41458541458541459</c:v>
                </c:pt>
                <c:pt idx="415">
                  <c:v>0.41558441558441561</c:v>
                </c:pt>
                <c:pt idx="416">
                  <c:v>0.41658341658341658</c:v>
                </c:pt>
                <c:pt idx="417">
                  <c:v>0.4175824175824176</c:v>
                </c:pt>
                <c:pt idx="418">
                  <c:v>0.41858141858141856</c:v>
                </c:pt>
                <c:pt idx="419">
                  <c:v>0.41958041958041958</c:v>
                </c:pt>
                <c:pt idx="420">
                  <c:v>0.4205794205794206</c:v>
                </c:pt>
                <c:pt idx="421">
                  <c:v>0.42157842157842157</c:v>
                </c:pt>
                <c:pt idx="422">
                  <c:v>0.42257742257742259</c:v>
                </c:pt>
                <c:pt idx="423">
                  <c:v>0.42357642357642356</c:v>
                </c:pt>
                <c:pt idx="424">
                  <c:v>0.42457542457542458</c:v>
                </c:pt>
                <c:pt idx="425">
                  <c:v>0.4255744255744256</c:v>
                </c:pt>
                <c:pt idx="426">
                  <c:v>0.42657342657342656</c:v>
                </c:pt>
                <c:pt idx="427">
                  <c:v>0.42757242757242758</c:v>
                </c:pt>
                <c:pt idx="428">
                  <c:v>0.42857142857142855</c:v>
                </c:pt>
                <c:pt idx="429">
                  <c:v>0.42957042957042957</c:v>
                </c:pt>
                <c:pt idx="430">
                  <c:v>0.43056943056943059</c:v>
                </c:pt>
                <c:pt idx="431">
                  <c:v>0.43156843156843155</c:v>
                </c:pt>
                <c:pt idx="432">
                  <c:v>0.43256743256743257</c:v>
                </c:pt>
                <c:pt idx="433">
                  <c:v>0.43356643356643354</c:v>
                </c:pt>
                <c:pt idx="434">
                  <c:v>0.43456543456543456</c:v>
                </c:pt>
                <c:pt idx="435">
                  <c:v>0.43556443556443558</c:v>
                </c:pt>
                <c:pt idx="436">
                  <c:v>0.43656343656343655</c:v>
                </c:pt>
                <c:pt idx="437">
                  <c:v>0.43756243756243757</c:v>
                </c:pt>
                <c:pt idx="438">
                  <c:v>0.43856143856143859</c:v>
                </c:pt>
                <c:pt idx="439">
                  <c:v>0.43956043956043955</c:v>
                </c:pt>
                <c:pt idx="440">
                  <c:v>0.44055944055944057</c:v>
                </c:pt>
                <c:pt idx="441">
                  <c:v>0.44155844155844154</c:v>
                </c:pt>
                <c:pt idx="442">
                  <c:v>0.44255744255744256</c:v>
                </c:pt>
                <c:pt idx="443">
                  <c:v>0.44355644355644358</c:v>
                </c:pt>
                <c:pt idx="444">
                  <c:v>0.44455544455544455</c:v>
                </c:pt>
                <c:pt idx="445">
                  <c:v>0.44555444555444557</c:v>
                </c:pt>
                <c:pt idx="446">
                  <c:v>0.44655344655344653</c:v>
                </c:pt>
                <c:pt idx="447">
                  <c:v>0.44755244755244755</c:v>
                </c:pt>
                <c:pt idx="448">
                  <c:v>0.44855144855144857</c:v>
                </c:pt>
                <c:pt idx="449">
                  <c:v>0.44955044955044954</c:v>
                </c:pt>
                <c:pt idx="450">
                  <c:v>0.45054945054945056</c:v>
                </c:pt>
                <c:pt idx="451">
                  <c:v>0.45154845154845152</c:v>
                </c:pt>
                <c:pt idx="452">
                  <c:v>0.45254745254745254</c:v>
                </c:pt>
                <c:pt idx="453">
                  <c:v>0.45354645354645357</c:v>
                </c:pt>
                <c:pt idx="454">
                  <c:v>0.45454545454545453</c:v>
                </c:pt>
                <c:pt idx="455">
                  <c:v>0.45554445554445555</c:v>
                </c:pt>
                <c:pt idx="456">
                  <c:v>0.45654345654345652</c:v>
                </c:pt>
                <c:pt idx="457">
                  <c:v>0.45754245754245754</c:v>
                </c:pt>
                <c:pt idx="458">
                  <c:v>0.45854145854145856</c:v>
                </c:pt>
                <c:pt idx="459">
                  <c:v>0.45954045954045952</c:v>
                </c:pt>
                <c:pt idx="460">
                  <c:v>0.46053946053946054</c:v>
                </c:pt>
                <c:pt idx="461">
                  <c:v>0.46153846153846156</c:v>
                </c:pt>
                <c:pt idx="462">
                  <c:v>0.46253746253746253</c:v>
                </c:pt>
                <c:pt idx="463">
                  <c:v>0.46353646353646355</c:v>
                </c:pt>
                <c:pt idx="464">
                  <c:v>0.46453546453546452</c:v>
                </c:pt>
                <c:pt idx="465">
                  <c:v>0.46553446553446554</c:v>
                </c:pt>
                <c:pt idx="466">
                  <c:v>0.46653346653346656</c:v>
                </c:pt>
                <c:pt idx="467">
                  <c:v>0.46753246753246752</c:v>
                </c:pt>
                <c:pt idx="468">
                  <c:v>0.46853146853146854</c:v>
                </c:pt>
                <c:pt idx="469">
                  <c:v>0.46953046953046951</c:v>
                </c:pt>
                <c:pt idx="470">
                  <c:v>0.47052947052947053</c:v>
                </c:pt>
                <c:pt idx="471">
                  <c:v>0.47152847152847155</c:v>
                </c:pt>
                <c:pt idx="472">
                  <c:v>0.47252747252747251</c:v>
                </c:pt>
                <c:pt idx="473">
                  <c:v>0.47352647352647353</c:v>
                </c:pt>
                <c:pt idx="474">
                  <c:v>0.4745254745254745</c:v>
                </c:pt>
                <c:pt idx="475">
                  <c:v>0.47552447552447552</c:v>
                </c:pt>
                <c:pt idx="476">
                  <c:v>0.47652347652347654</c:v>
                </c:pt>
                <c:pt idx="477">
                  <c:v>0.47752247752247751</c:v>
                </c:pt>
                <c:pt idx="478">
                  <c:v>0.47852147852147853</c:v>
                </c:pt>
                <c:pt idx="479">
                  <c:v>0.47952047952047955</c:v>
                </c:pt>
                <c:pt idx="480">
                  <c:v>0.48051948051948051</c:v>
                </c:pt>
                <c:pt idx="481">
                  <c:v>0.48151848151848153</c:v>
                </c:pt>
                <c:pt idx="482">
                  <c:v>0.4825174825174825</c:v>
                </c:pt>
                <c:pt idx="483">
                  <c:v>0.48351648351648352</c:v>
                </c:pt>
                <c:pt idx="484">
                  <c:v>0.48451548451548454</c:v>
                </c:pt>
                <c:pt idx="485">
                  <c:v>0.48551448551448551</c:v>
                </c:pt>
                <c:pt idx="486">
                  <c:v>0.48651348651348653</c:v>
                </c:pt>
                <c:pt idx="487">
                  <c:v>0.48751248751248749</c:v>
                </c:pt>
                <c:pt idx="488">
                  <c:v>0.48851148851148851</c:v>
                </c:pt>
                <c:pt idx="489">
                  <c:v>0.48951048951048953</c:v>
                </c:pt>
                <c:pt idx="490">
                  <c:v>0.4905094905094905</c:v>
                </c:pt>
                <c:pt idx="491">
                  <c:v>0.49150849150849152</c:v>
                </c:pt>
                <c:pt idx="492">
                  <c:v>0.49250749250749248</c:v>
                </c:pt>
                <c:pt idx="493">
                  <c:v>0.4935064935064935</c:v>
                </c:pt>
                <c:pt idx="494">
                  <c:v>0.49450549450549453</c:v>
                </c:pt>
                <c:pt idx="495">
                  <c:v>0.49550449550449549</c:v>
                </c:pt>
                <c:pt idx="496">
                  <c:v>0.49650349650349651</c:v>
                </c:pt>
                <c:pt idx="497">
                  <c:v>0.49750249750249748</c:v>
                </c:pt>
                <c:pt idx="498">
                  <c:v>0.4985014985014985</c:v>
                </c:pt>
                <c:pt idx="499">
                  <c:v>0.49950049950049952</c:v>
                </c:pt>
                <c:pt idx="500">
                  <c:v>0.50049950049950054</c:v>
                </c:pt>
                <c:pt idx="501">
                  <c:v>0.5014985014985015</c:v>
                </c:pt>
                <c:pt idx="502">
                  <c:v>0.50249750249750247</c:v>
                </c:pt>
                <c:pt idx="503">
                  <c:v>0.50349650349650354</c:v>
                </c:pt>
                <c:pt idx="504">
                  <c:v>0.50449550449550451</c:v>
                </c:pt>
                <c:pt idx="505">
                  <c:v>0.50549450549450547</c:v>
                </c:pt>
                <c:pt idx="506">
                  <c:v>0.50649350649350644</c:v>
                </c:pt>
                <c:pt idx="507">
                  <c:v>0.50749250749250752</c:v>
                </c:pt>
                <c:pt idx="508">
                  <c:v>0.50849150849150848</c:v>
                </c:pt>
                <c:pt idx="509">
                  <c:v>0.50949050949050945</c:v>
                </c:pt>
                <c:pt idx="510">
                  <c:v>0.51048951048951052</c:v>
                </c:pt>
                <c:pt idx="511">
                  <c:v>0.51148851148851149</c:v>
                </c:pt>
                <c:pt idx="512">
                  <c:v>0.51248751248751245</c:v>
                </c:pt>
                <c:pt idx="513">
                  <c:v>0.51348651348651353</c:v>
                </c:pt>
                <c:pt idx="514">
                  <c:v>0.51448551448551449</c:v>
                </c:pt>
                <c:pt idx="515">
                  <c:v>0.51548451548451546</c:v>
                </c:pt>
                <c:pt idx="516">
                  <c:v>0.51648351648351654</c:v>
                </c:pt>
                <c:pt idx="517">
                  <c:v>0.5174825174825175</c:v>
                </c:pt>
                <c:pt idx="518">
                  <c:v>0.51848151848151847</c:v>
                </c:pt>
                <c:pt idx="519">
                  <c:v>0.51948051948051943</c:v>
                </c:pt>
                <c:pt idx="520">
                  <c:v>0.52047952047952051</c:v>
                </c:pt>
                <c:pt idx="521">
                  <c:v>0.52147852147852147</c:v>
                </c:pt>
                <c:pt idx="522">
                  <c:v>0.52247752247752244</c:v>
                </c:pt>
                <c:pt idx="523">
                  <c:v>0.52347652347652351</c:v>
                </c:pt>
                <c:pt idx="524">
                  <c:v>0.52447552447552448</c:v>
                </c:pt>
                <c:pt idx="525">
                  <c:v>0.52547452547452544</c:v>
                </c:pt>
                <c:pt idx="526">
                  <c:v>0.52647352647352652</c:v>
                </c:pt>
                <c:pt idx="527">
                  <c:v>0.52747252747252749</c:v>
                </c:pt>
                <c:pt idx="528">
                  <c:v>0.52847152847152845</c:v>
                </c:pt>
                <c:pt idx="529">
                  <c:v>0.52947052947052942</c:v>
                </c:pt>
                <c:pt idx="530">
                  <c:v>0.53046953046953049</c:v>
                </c:pt>
                <c:pt idx="531">
                  <c:v>0.53146853146853146</c:v>
                </c:pt>
                <c:pt idx="532">
                  <c:v>0.53246753246753242</c:v>
                </c:pt>
                <c:pt idx="533">
                  <c:v>0.5334665334665335</c:v>
                </c:pt>
                <c:pt idx="534">
                  <c:v>0.53446553446553446</c:v>
                </c:pt>
                <c:pt idx="535">
                  <c:v>0.53546453546453543</c:v>
                </c:pt>
                <c:pt idx="536">
                  <c:v>0.53646353646353651</c:v>
                </c:pt>
                <c:pt idx="537">
                  <c:v>0.53746253746253747</c:v>
                </c:pt>
                <c:pt idx="538">
                  <c:v>0.53846153846153844</c:v>
                </c:pt>
                <c:pt idx="539">
                  <c:v>0.53946053946053951</c:v>
                </c:pt>
                <c:pt idx="540">
                  <c:v>0.54045954045954048</c:v>
                </c:pt>
                <c:pt idx="541">
                  <c:v>0.54145854145854144</c:v>
                </c:pt>
                <c:pt idx="542">
                  <c:v>0.54245754245754241</c:v>
                </c:pt>
                <c:pt idx="543">
                  <c:v>0.54345654345654348</c:v>
                </c:pt>
                <c:pt idx="544">
                  <c:v>0.54445554445554445</c:v>
                </c:pt>
                <c:pt idx="545">
                  <c:v>0.54545454545454541</c:v>
                </c:pt>
                <c:pt idx="546">
                  <c:v>0.54645354645354649</c:v>
                </c:pt>
                <c:pt idx="547">
                  <c:v>0.54745254745254746</c:v>
                </c:pt>
                <c:pt idx="548">
                  <c:v>0.54845154845154842</c:v>
                </c:pt>
                <c:pt idx="549">
                  <c:v>0.5494505494505495</c:v>
                </c:pt>
                <c:pt idx="550">
                  <c:v>0.55044955044955046</c:v>
                </c:pt>
                <c:pt idx="551">
                  <c:v>0.55144855144855143</c:v>
                </c:pt>
                <c:pt idx="552">
                  <c:v>0.55244755244755239</c:v>
                </c:pt>
                <c:pt idx="553">
                  <c:v>0.55344655344655347</c:v>
                </c:pt>
                <c:pt idx="554">
                  <c:v>0.55444555444555443</c:v>
                </c:pt>
                <c:pt idx="555">
                  <c:v>0.5554445554445554</c:v>
                </c:pt>
                <c:pt idx="556">
                  <c:v>0.55644355644355648</c:v>
                </c:pt>
                <c:pt idx="557">
                  <c:v>0.55744255744255744</c:v>
                </c:pt>
                <c:pt idx="558">
                  <c:v>0.55844155844155841</c:v>
                </c:pt>
                <c:pt idx="559">
                  <c:v>0.55944055944055948</c:v>
                </c:pt>
                <c:pt idx="560">
                  <c:v>0.56043956043956045</c:v>
                </c:pt>
                <c:pt idx="561">
                  <c:v>0.56143856143856141</c:v>
                </c:pt>
                <c:pt idx="562">
                  <c:v>0.56243756243756249</c:v>
                </c:pt>
                <c:pt idx="563">
                  <c:v>0.56343656343656345</c:v>
                </c:pt>
                <c:pt idx="564">
                  <c:v>0.56443556443556442</c:v>
                </c:pt>
                <c:pt idx="565">
                  <c:v>0.56543456543456538</c:v>
                </c:pt>
                <c:pt idx="566">
                  <c:v>0.56643356643356646</c:v>
                </c:pt>
                <c:pt idx="567">
                  <c:v>0.56743256743256743</c:v>
                </c:pt>
                <c:pt idx="568">
                  <c:v>0.56843156843156839</c:v>
                </c:pt>
                <c:pt idx="569">
                  <c:v>0.56943056943056947</c:v>
                </c:pt>
                <c:pt idx="570">
                  <c:v>0.57042957042957043</c:v>
                </c:pt>
                <c:pt idx="571">
                  <c:v>0.5714285714285714</c:v>
                </c:pt>
                <c:pt idx="572">
                  <c:v>0.57242757242757247</c:v>
                </c:pt>
                <c:pt idx="573">
                  <c:v>0.57342657342657344</c:v>
                </c:pt>
                <c:pt idx="574">
                  <c:v>0.5744255744255744</c:v>
                </c:pt>
                <c:pt idx="575">
                  <c:v>0.57542457542457548</c:v>
                </c:pt>
                <c:pt idx="576">
                  <c:v>0.57642357642357644</c:v>
                </c:pt>
                <c:pt idx="577">
                  <c:v>0.57742257742257741</c:v>
                </c:pt>
                <c:pt idx="578">
                  <c:v>0.57842157842157838</c:v>
                </c:pt>
                <c:pt idx="579">
                  <c:v>0.57942057942057945</c:v>
                </c:pt>
                <c:pt idx="580">
                  <c:v>0.58041958041958042</c:v>
                </c:pt>
                <c:pt idx="581">
                  <c:v>0.58141858141858138</c:v>
                </c:pt>
                <c:pt idx="582">
                  <c:v>0.58241758241758246</c:v>
                </c:pt>
                <c:pt idx="583">
                  <c:v>0.58341658341658342</c:v>
                </c:pt>
                <c:pt idx="584">
                  <c:v>0.58441558441558439</c:v>
                </c:pt>
                <c:pt idx="585">
                  <c:v>0.58541458541458546</c:v>
                </c:pt>
                <c:pt idx="586">
                  <c:v>0.58641358641358643</c:v>
                </c:pt>
                <c:pt idx="587">
                  <c:v>0.58741258741258739</c:v>
                </c:pt>
                <c:pt idx="588">
                  <c:v>0.58841158841158836</c:v>
                </c:pt>
                <c:pt idx="589">
                  <c:v>0.58941058941058944</c:v>
                </c:pt>
                <c:pt idx="590">
                  <c:v>0.5904095904095904</c:v>
                </c:pt>
                <c:pt idx="591">
                  <c:v>0.59140859140859137</c:v>
                </c:pt>
                <c:pt idx="592">
                  <c:v>0.59240759240759244</c:v>
                </c:pt>
                <c:pt idx="593">
                  <c:v>0.59340659340659341</c:v>
                </c:pt>
                <c:pt idx="594">
                  <c:v>0.59440559440559437</c:v>
                </c:pt>
                <c:pt idx="595">
                  <c:v>0.59540459540459545</c:v>
                </c:pt>
                <c:pt idx="596">
                  <c:v>0.59640359640359641</c:v>
                </c:pt>
                <c:pt idx="597">
                  <c:v>0.59740259740259738</c:v>
                </c:pt>
                <c:pt idx="598">
                  <c:v>0.59840159840159846</c:v>
                </c:pt>
                <c:pt idx="599">
                  <c:v>0.59940059940059942</c:v>
                </c:pt>
                <c:pt idx="600">
                  <c:v>0.60039960039960039</c:v>
                </c:pt>
                <c:pt idx="601">
                  <c:v>0.60139860139860135</c:v>
                </c:pt>
                <c:pt idx="602">
                  <c:v>0.60239760239760243</c:v>
                </c:pt>
                <c:pt idx="603">
                  <c:v>0.60339660339660339</c:v>
                </c:pt>
                <c:pt idx="604">
                  <c:v>0.60439560439560436</c:v>
                </c:pt>
                <c:pt idx="605">
                  <c:v>0.60539460539460543</c:v>
                </c:pt>
                <c:pt idx="606">
                  <c:v>0.6063936063936064</c:v>
                </c:pt>
                <c:pt idx="607">
                  <c:v>0.60739260739260736</c:v>
                </c:pt>
                <c:pt idx="608">
                  <c:v>0.60839160839160844</c:v>
                </c:pt>
                <c:pt idx="609">
                  <c:v>0.60939060939060941</c:v>
                </c:pt>
                <c:pt idx="610">
                  <c:v>0.61038961038961037</c:v>
                </c:pt>
                <c:pt idx="611">
                  <c:v>0.61138861138861134</c:v>
                </c:pt>
                <c:pt idx="612">
                  <c:v>0.61238761238761241</c:v>
                </c:pt>
                <c:pt idx="613">
                  <c:v>0.61338661338661338</c:v>
                </c:pt>
                <c:pt idx="614">
                  <c:v>0.61438561438561434</c:v>
                </c:pt>
                <c:pt idx="615">
                  <c:v>0.61538461538461542</c:v>
                </c:pt>
                <c:pt idx="616">
                  <c:v>0.61638361638361638</c:v>
                </c:pt>
                <c:pt idx="617">
                  <c:v>0.61738261738261735</c:v>
                </c:pt>
                <c:pt idx="618">
                  <c:v>0.61838161838161843</c:v>
                </c:pt>
                <c:pt idx="619">
                  <c:v>0.61938061938061939</c:v>
                </c:pt>
                <c:pt idx="620">
                  <c:v>0.62037962037962036</c:v>
                </c:pt>
                <c:pt idx="621">
                  <c:v>0.62137862137862143</c:v>
                </c:pt>
                <c:pt idx="622">
                  <c:v>0.6223776223776224</c:v>
                </c:pt>
                <c:pt idx="623">
                  <c:v>0.62337662337662336</c:v>
                </c:pt>
                <c:pt idx="624">
                  <c:v>0.62437562437562433</c:v>
                </c:pt>
                <c:pt idx="625">
                  <c:v>0.6253746253746254</c:v>
                </c:pt>
                <c:pt idx="626">
                  <c:v>0.62637362637362637</c:v>
                </c:pt>
                <c:pt idx="627">
                  <c:v>0.62737262737262733</c:v>
                </c:pt>
                <c:pt idx="628">
                  <c:v>0.62837162837162841</c:v>
                </c:pt>
                <c:pt idx="629">
                  <c:v>0.62937062937062938</c:v>
                </c:pt>
                <c:pt idx="630">
                  <c:v>0.63036963036963034</c:v>
                </c:pt>
                <c:pt idx="631">
                  <c:v>0.63136863136863142</c:v>
                </c:pt>
                <c:pt idx="632">
                  <c:v>0.63236763236763238</c:v>
                </c:pt>
                <c:pt idx="633">
                  <c:v>0.63336663336663335</c:v>
                </c:pt>
                <c:pt idx="634">
                  <c:v>0.63436563436563431</c:v>
                </c:pt>
                <c:pt idx="635">
                  <c:v>0.63536463536463539</c:v>
                </c:pt>
                <c:pt idx="636">
                  <c:v>0.63636363636363635</c:v>
                </c:pt>
                <c:pt idx="637">
                  <c:v>0.63736263736263732</c:v>
                </c:pt>
                <c:pt idx="638">
                  <c:v>0.63836163836163839</c:v>
                </c:pt>
                <c:pt idx="639">
                  <c:v>0.63936063936063936</c:v>
                </c:pt>
                <c:pt idx="640">
                  <c:v>0.64035964035964033</c:v>
                </c:pt>
                <c:pt idx="641">
                  <c:v>0.6413586413586414</c:v>
                </c:pt>
                <c:pt idx="642">
                  <c:v>0.64235764235764237</c:v>
                </c:pt>
                <c:pt idx="643">
                  <c:v>0.64335664335664333</c:v>
                </c:pt>
                <c:pt idx="644">
                  <c:v>0.64435564435564441</c:v>
                </c:pt>
                <c:pt idx="645">
                  <c:v>0.64535464535464537</c:v>
                </c:pt>
                <c:pt idx="646">
                  <c:v>0.64635364635364634</c:v>
                </c:pt>
                <c:pt idx="647">
                  <c:v>0.6473526473526473</c:v>
                </c:pt>
                <c:pt idx="648">
                  <c:v>0.64835164835164838</c:v>
                </c:pt>
                <c:pt idx="649">
                  <c:v>0.64935064935064934</c:v>
                </c:pt>
                <c:pt idx="650">
                  <c:v>0.65034965034965031</c:v>
                </c:pt>
                <c:pt idx="651">
                  <c:v>0.65134865134865139</c:v>
                </c:pt>
                <c:pt idx="652">
                  <c:v>0.65234765234765235</c:v>
                </c:pt>
                <c:pt idx="653">
                  <c:v>0.65334665334665332</c:v>
                </c:pt>
                <c:pt idx="654">
                  <c:v>0.65434565434565439</c:v>
                </c:pt>
                <c:pt idx="655">
                  <c:v>0.65534465534465536</c:v>
                </c:pt>
                <c:pt idx="656">
                  <c:v>0.65634365634365632</c:v>
                </c:pt>
                <c:pt idx="657">
                  <c:v>0.65734265734265729</c:v>
                </c:pt>
                <c:pt idx="658">
                  <c:v>0.65834165834165836</c:v>
                </c:pt>
                <c:pt idx="659">
                  <c:v>0.65934065934065933</c:v>
                </c:pt>
                <c:pt idx="660">
                  <c:v>0.66033966033966029</c:v>
                </c:pt>
                <c:pt idx="661">
                  <c:v>0.66133866133866137</c:v>
                </c:pt>
                <c:pt idx="662">
                  <c:v>0.66233766233766234</c:v>
                </c:pt>
                <c:pt idx="663">
                  <c:v>0.6633366633366633</c:v>
                </c:pt>
                <c:pt idx="664">
                  <c:v>0.66433566433566438</c:v>
                </c:pt>
                <c:pt idx="665">
                  <c:v>0.66533466533466534</c:v>
                </c:pt>
                <c:pt idx="666">
                  <c:v>0.66633366633366631</c:v>
                </c:pt>
                <c:pt idx="667">
                  <c:v>0.66733266733266738</c:v>
                </c:pt>
                <c:pt idx="668">
                  <c:v>0.66833166833166835</c:v>
                </c:pt>
                <c:pt idx="669">
                  <c:v>0.66933066933066931</c:v>
                </c:pt>
                <c:pt idx="670">
                  <c:v>0.67032967032967028</c:v>
                </c:pt>
                <c:pt idx="671">
                  <c:v>0.67132867132867136</c:v>
                </c:pt>
                <c:pt idx="672">
                  <c:v>0.67232767232767232</c:v>
                </c:pt>
                <c:pt idx="673">
                  <c:v>0.67332667332667329</c:v>
                </c:pt>
                <c:pt idx="674">
                  <c:v>0.67432567432567436</c:v>
                </c:pt>
                <c:pt idx="675">
                  <c:v>0.67532467532467533</c:v>
                </c:pt>
                <c:pt idx="676">
                  <c:v>0.67632367632367629</c:v>
                </c:pt>
                <c:pt idx="677">
                  <c:v>0.67732267732267737</c:v>
                </c:pt>
                <c:pt idx="678">
                  <c:v>0.67832167832167833</c:v>
                </c:pt>
                <c:pt idx="679">
                  <c:v>0.6793206793206793</c:v>
                </c:pt>
                <c:pt idx="680">
                  <c:v>0.68031968031968026</c:v>
                </c:pt>
                <c:pt idx="681">
                  <c:v>0.68131868131868134</c:v>
                </c:pt>
                <c:pt idx="682">
                  <c:v>0.68231768231768231</c:v>
                </c:pt>
                <c:pt idx="683">
                  <c:v>0.68331668331668327</c:v>
                </c:pt>
                <c:pt idx="684">
                  <c:v>0.68431568431568435</c:v>
                </c:pt>
                <c:pt idx="685">
                  <c:v>0.68531468531468531</c:v>
                </c:pt>
                <c:pt idx="686">
                  <c:v>0.68631368631368628</c:v>
                </c:pt>
                <c:pt idx="687">
                  <c:v>0.68731268731268735</c:v>
                </c:pt>
                <c:pt idx="688">
                  <c:v>0.68831168831168832</c:v>
                </c:pt>
                <c:pt idx="689">
                  <c:v>0.68931068931068928</c:v>
                </c:pt>
                <c:pt idx="690">
                  <c:v>0.69030969030969036</c:v>
                </c:pt>
                <c:pt idx="691">
                  <c:v>0.69130869130869133</c:v>
                </c:pt>
                <c:pt idx="692">
                  <c:v>0.69230769230769229</c:v>
                </c:pt>
                <c:pt idx="693">
                  <c:v>0.69330669330669326</c:v>
                </c:pt>
                <c:pt idx="694">
                  <c:v>0.69430569430569433</c:v>
                </c:pt>
                <c:pt idx="695">
                  <c:v>0.6953046953046953</c:v>
                </c:pt>
                <c:pt idx="696">
                  <c:v>0.69630369630369626</c:v>
                </c:pt>
                <c:pt idx="697">
                  <c:v>0.69730269730269734</c:v>
                </c:pt>
                <c:pt idx="698">
                  <c:v>0.6983016983016983</c:v>
                </c:pt>
                <c:pt idx="699">
                  <c:v>0.69930069930069927</c:v>
                </c:pt>
                <c:pt idx="700">
                  <c:v>0.70029970029970035</c:v>
                </c:pt>
                <c:pt idx="701">
                  <c:v>0.70129870129870131</c:v>
                </c:pt>
                <c:pt idx="702">
                  <c:v>0.70229770229770228</c:v>
                </c:pt>
                <c:pt idx="703">
                  <c:v>0.70329670329670335</c:v>
                </c:pt>
                <c:pt idx="704">
                  <c:v>0.70429570429570432</c:v>
                </c:pt>
                <c:pt idx="705">
                  <c:v>0.70529470529470528</c:v>
                </c:pt>
                <c:pt idx="706">
                  <c:v>0.70629370629370625</c:v>
                </c:pt>
                <c:pt idx="707">
                  <c:v>0.70729270729270732</c:v>
                </c:pt>
                <c:pt idx="708">
                  <c:v>0.70829170829170829</c:v>
                </c:pt>
                <c:pt idx="709">
                  <c:v>0.70929070929070925</c:v>
                </c:pt>
                <c:pt idx="710">
                  <c:v>0.71028971028971033</c:v>
                </c:pt>
                <c:pt idx="711">
                  <c:v>0.7112887112887113</c:v>
                </c:pt>
                <c:pt idx="712">
                  <c:v>0.71228771228771226</c:v>
                </c:pt>
                <c:pt idx="713">
                  <c:v>0.71328671328671334</c:v>
                </c:pt>
                <c:pt idx="714">
                  <c:v>0.7142857142857143</c:v>
                </c:pt>
                <c:pt idx="715">
                  <c:v>0.71528471528471527</c:v>
                </c:pt>
                <c:pt idx="716">
                  <c:v>0.71628371628371623</c:v>
                </c:pt>
                <c:pt idx="717">
                  <c:v>0.71728271728271731</c:v>
                </c:pt>
                <c:pt idx="718">
                  <c:v>0.71828171828171827</c:v>
                </c:pt>
                <c:pt idx="719">
                  <c:v>0.71928071928071924</c:v>
                </c:pt>
                <c:pt idx="720">
                  <c:v>0.72027972027972031</c:v>
                </c:pt>
                <c:pt idx="721">
                  <c:v>0.72127872127872128</c:v>
                </c:pt>
                <c:pt idx="722">
                  <c:v>0.72227772227772225</c:v>
                </c:pt>
                <c:pt idx="723">
                  <c:v>0.72327672327672332</c:v>
                </c:pt>
                <c:pt idx="724">
                  <c:v>0.72427572427572429</c:v>
                </c:pt>
                <c:pt idx="725">
                  <c:v>0.72527472527472525</c:v>
                </c:pt>
                <c:pt idx="726">
                  <c:v>0.72627372627372633</c:v>
                </c:pt>
                <c:pt idx="727">
                  <c:v>0.72727272727272729</c:v>
                </c:pt>
                <c:pt idx="728">
                  <c:v>0.72827172827172826</c:v>
                </c:pt>
                <c:pt idx="729">
                  <c:v>0.72927072927072922</c:v>
                </c:pt>
                <c:pt idx="730">
                  <c:v>0.7302697302697303</c:v>
                </c:pt>
                <c:pt idx="731">
                  <c:v>0.73126873126873126</c:v>
                </c:pt>
                <c:pt idx="732">
                  <c:v>0.73226773226773223</c:v>
                </c:pt>
                <c:pt idx="733">
                  <c:v>0.73326673326673331</c:v>
                </c:pt>
                <c:pt idx="734">
                  <c:v>0.73426573426573427</c:v>
                </c:pt>
                <c:pt idx="735">
                  <c:v>0.73526473526473524</c:v>
                </c:pt>
                <c:pt idx="736">
                  <c:v>0.73626373626373631</c:v>
                </c:pt>
                <c:pt idx="737">
                  <c:v>0.73726273726273728</c:v>
                </c:pt>
                <c:pt idx="738">
                  <c:v>0.73826173826173824</c:v>
                </c:pt>
                <c:pt idx="739">
                  <c:v>0.73926073926073921</c:v>
                </c:pt>
                <c:pt idx="740">
                  <c:v>0.74025974025974028</c:v>
                </c:pt>
                <c:pt idx="741">
                  <c:v>0.74125874125874125</c:v>
                </c:pt>
                <c:pt idx="742">
                  <c:v>0.74225774225774221</c:v>
                </c:pt>
                <c:pt idx="743">
                  <c:v>0.74325674325674329</c:v>
                </c:pt>
                <c:pt idx="744">
                  <c:v>0.74425574425574426</c:v>
                </c:pt>
                <c:pt idx="745">
                  <c:v>0.74525474525474522</c:v>
                </c:pt>
                <c:pt idx="746">
                  <c:v>0.7462537462537463</c:v>
                </c:pt>
                <c:pt idx="747">
                  <c:v>0.74725274725274726</c:v>
                </c:pt>
                <c:pt idx="748">
                  <c:v>0.74825174825174823</c:v>
                </c:pt>
                <c:pt idx="749">
                  <c:v>0.7492507492507493</c:v>
                </c:pt>
                <c:pt idx="750">
                  <c:v>0.75024975024975027</c:v>
                </c:pt>
                <c:pt idx="751">
                  <c:v>0.75124875124875123</c:v>
                </c:pt>
                <c:pt idx="752">
                  <c:v>0.7522477522477522</c:v>
                </c:pt>
                <c:pt idx="753">
                  <c:v>0.75324675324675328</c:v>
                </c:pt>
                <c:pt idx="754">
                  <c:v>0.75424575424575424</c:v>
                </c:pt>
                <c:pt idx="755">
                  <c:v>0.75524475524475521</c:v>
                </c:pt>
                <c:pt idx="756">
                  <c:v>0.75624375624375628</c:v>
                </c:pt>
                <c:pt idx="757">
                  <c:v>0.75724275724275725</c:v>
                </c:pt>
                <c:pt idx="758">
                  <c:v>0.75824175824175821</c:v>
                </c:pt>
                <c:pt idx="759">
                  <c:v>0.75924075924075929</c:v>
                </c:pt>
                <c:pt idx="760">
                  <c:v>0.76023976023976025</c:v>
                </c:pt>
                <c:pt idx="761">
                  <c:v>0.76123876123876122</c:v>
                </c:pt>
                <c:pt idx="762">
                  <c:v>0.76223776223776218</c:v>
                </c:pt>
                <c:pt idx="763">
                  <c:v>0.76323676323676326</c:v>
                </c:pt>
                <c:pt idx="764">
                  <c:v>0.76423576423576423</c:v>
                </c:pt>
                <c:pt idx="765">
                  <c:v>0.76523476523476519</c:v>
                </c:pt>
                <c:pt idx="766">
                  <c:v>0.76623376623376627</c:v>
                </c:pt>
                <c:pt idx="767">
                  <c:v>0.76723276723276723</c:v>
                </c:pt>
                <c:pt idx="768">
                  <c:v>0.7682317682317682</c:v>
                </c:pt>
                <c:pt idx="769">
                  <c:v>0.76923076923076927</c:v>
                </c:pt>
                <c:pt idx="770">
                  <c:v>0.77022977022977024</c:v>
                </c:pt>
                <c:pt idx="771">
                  <c:v>0.7712287712287712</c:v>
                </c:pt>
                <c:pt idx="772">
                  <c:v>0.77222777222777228</c:v>
                </c:pt>
                <c:pt idx="773">
                  <c:v>0.77322677322677325</c:v>
                </c:pt>
                <c:pt idx="774">
                  <c:v>0.77422577422577421</c:v>
                </c:pt>
                <c:pt idx="775">
                  <c:v>0.77522477522477518</c:v>
                </c:pt>
                <c:pt idx="776">
                  <c:v>0.77622377622377625</c:v>
                </c:pt>
                <c:pt idx="777">
                  <c:v>0.77722277722277722</c:v>
                </c:pt>
                <c:pt idx="778">
                  <c:v>0.77822177822177818</c:v>
                </c:pt>
                <c:pt idx="779">
                  <c:v>0.77922077922077926</c:v>
                </c:pt>
                <c:pt idx="780">
                  <c:v>0.78021978021978022</c:v>
                </c:pt>
                <c:pt idx="781">
                  <c:v>0.78121878121878119</c:v>
                </c:pt>
                <c:pt idx="782">
                  <c:v>0.78221778221778226</c:v>
                </c:pt>
                <c:pt idx="783">
                  <c:v>0.78321678321678323</c:v>
                </c:pt>
                <c:pt idx="784">
                  <c:v>0.7842157842157842</c:v>
                </c:pt>
                <c:pt idx="785">
                  <c:v>0.78521478521478516</c:v>
                </c:pt>
                <c:pt idx="786">
                  <c:v>0.78621378621378624</c:v>
                </c:pt>
                <c:pt idx="787">
                  <c:v>0.7872127872127872</c:v>
                </c:pt>
                <c:pt idx="788">
                  <c:v>0.78821178821178817</c:v>
                </c:pt>
                <c:pt idx="789">
                  <c:v>0.78921078921078924</c:v>
                </c:pt>
                <c:pt idx="790">
                  <c:v>0.79020979020979021</c:v>
                </c:pt>
                <c:pt idx="791">
                  <c:v>0.79120879120879117</c:v>
                </c:pt>
                <c:pt idx="792">
                  <c:v>0.79220779220779225</c:v>
                </c:pt>
                <c:pt idx="793">
                  <c:v>0.79320679320679321</c:v>
                </c:pt>
                <c:pt idx="794">
                  <c:v>0.79420579420579418</c:v>
                </c:pt>
                <c:pt idx="795">
                  <c:v>0.79520479520479526</c:v>
                </c:pt>
                <c:pt idx="796">
                  <c:v>0.79620379620379622</c:v>
                </c:pt>
                <c:pt idx="797">
                  <c:v>0.79720279720279719</c:v>
                </c:pt>
                <c:pt idx="798">
                  <c:v>0.79820179820179815</c:v>
                </c:pt>
                <c:pt idx="799">
                  <c:v>0.79920079920079923</c:v>
                </c:pt>
                <c:pt idx="800">
                  <c:v>0.80019980019980019</c:v>
                </c:pt>
                <c:pt idx="801">
                  <c:v>0.80119880119880116</c:v>
                </c:pt>
                <c:pt idx="802">
                  <c:v>0.80219780219780223</c:v>
                </c:pt>
                <c:pt idx="803">
                  <c:v>0.8031968031968032</c:v>
                </c:pt>
                <c:pt idx="804">
                  <c:v>0.80419580419580416</c:v>
                </c:pt>
                <c:pt idx="805">
                  <c:v>0.80519480519480524</c:v>
                </c:pt>
                <c:pt idx="806">
                  <c:v>0.80619380619380621</c:v>
                </c:pt>
                <c:pt idx="807">
                  <c:v>0.80719280719280717</c:v>
                </c:pt>
                <c:pt idx="808">
                  <c:v>0.80819180819180814</c:v>
                </c:pt>
                <c:pt idx="809">
                  <c:v>0.80919080919080921</c:v>
                </c:pt>
                <c:pt idx="810">
                  <c:v>0.81018981018981018</c:v>
                </c:pt>
                <c:pt idx="811">
                  <c:v>0.81118881118881114</c:v>
                </c:pt>
                <c:pt idx="812">
                  <c:v>0.81218781218781222</c:v>
                </c:pt>
                <c:pt idx="813">
                  <c:v>0.81318681318681318</c:v>
                </c:pt>
                <c:pt idx="814">
                  <c:v>0.81418581418581415</c:v>
                </c:pt>
                <c:pt idx="815">
                  <c:v>0.81518481518481523</c:v>
                </c:pt>
                <c:pt idx="816">
                  <c:v>0.81618381618381619</c:v>
                </c:pt>
                <c:pt idx="817">
                  <c:v>0.81718281718281716</c:v>
                </c:pt>
                <c:pt idx="818">
                  <c:v>0.81818181818181823</c:v>
                </c:pt>
                <c:pt idx="819">
                  <c:v>0.8191808191808192</c:v>
                </c:pt>
                <c:pt idx="820">
                  <c:v>0.82017982017982016</c:v>
                </c:pt>
                <c:pt idx="821">
                  <c:v>0.82117882117882113</c:v>
                </c:pt>
                <c:pt idx="822">
                  <c:v>0.8221778221778222</c:v>
                </c:pt>
                <c:pt idx="823">
                  <c:v>0.82317682317682317</c:v>
                </c:pt>
                <c:pt idx="824">
                  <c:v>0.82417582417582413</c:v>
                </c:pt>
                <c:pt idx="825">
                  <c:v>0.82517482517482521</c:v>
                </c:pt>
                <c:pt idx="826">
                  <c:v>0.82617382617382618</c:v>
                </c:pt>
                <c:pt idx="827">
                  <c:v>0.82717282717282714</c:v>
                </c:pt>
                <c:pt idx="828">
                  <c:v>0.82817182817182822</c:v>
                </c:pt>
                <c:pt idx="829">
                  <c:v>0.82917082917082918</c:v>
                </c:pt>
                <c:pt idx="830">
                  <c:v>0.83016983016983015</c:v>
                </c:pt>
                <c:pt idx="831">
                  <c:v>0.83116883116883122</c:v>
                </c:pt>
                <c:pt idx="832">
                  <c:v>0.83216783216783219</c:v>
                </c:pt>
                <c:pt idx="833">
                  <c:v>0.83316683316683315</c:v>
                </c:pt>
                <c:pt idx="834">
                  <c:v>0.83416583416583412</c:v>
                </c:pt>
                <c:pt idx="835">
                  <c:v>0.8351648351648352</c:v>
                </c:pt>
                <c:pt idx="836">
                  <c:v>0.83616383616383616</c:v>
                </c:pt>
                <c:pt idx="837">
                  <c:v>0.83716283716283713</c:v>
                </c:pt>
                <c:pt idx="838">
                  <c:v>0.8381618381618382</c:v>
                </c:pt>
                <c:pt idx="839">
                  <c:v>0.83916083916083917</c:v>
                </c:pt>
                <c:pt idx="840">
                  <c:v>0.84015984015984013</c:v>
                </c:pt>
                <c:pt idx="841">
                  <c:v>0.84115884115884121</c:v>
                </c:pt>
                <c:pt idx="842">
                  <c:v>0.84215784215784217</c:v>
                </c:pt>
                <c:pt idx="843">
                  <c:v>0.84315684315684314</c:v>
                </c:pt>
                <c:pt idx="844">
                  <c:v>0.8441558441558441</c:v>
                </c:pt>
                <c:pt idx="845">
                  <c:v>0.84515484515484518</c:v>
                </c:pt>
                <c:pt idx="846">
                  <c:v>0.84615384615384615</c:v>
                </c:pt>
                <c:pt idx="847">
                  <c:v>0.84715284715284711</c:v>
                </c:pt>
                <c:pt idx="848">
                  <c:v>0.84815184815184819</c:v>
                </c:pt>
                <c:pt idx="849">
                  <c:v>0.84915084915084915</c:v>
                </c:pt>
                <c:pt idx="850">
                  <c:v>0.85014985014985012</c:v>
                </c:pt>
                <c:pt idx="851">
                  <c:v>0.85114885114885119</c:v>
                </c:pt>
                <c:pt idx="852">
                  <c:v>0.85214785214785216</c:v>
                </c:pt>
                <c:pt idx="853">
                  <c:v>0.85314685314685312</c:v>
                </c:pt>
                <c:pt idx="854">
                  <c:v>0.8541458541458542</c:v>
                </c:pt>
                <c:pt idx="855">
                  <c:v>0.85514485514485516</c:v>
                </c:pt>
                <c:pt idx="856">
                  <c:v>0.85614385614385613</c:v>
                </c:pt>
                <c:pt idx="857">
                  <c:v>0.8571428571428571</c:v>
                </c:pt>
                <c:pt idx="858">
                  <c:v>0.85814185814185817</c:v>
                </c:pt>
                <c:pt idx="859">
                  <c:v>0.85914085914085914</c:v>
                </c:pt>
                <c:pt idx="860">
                  <c:v>0.8601398601398601</c:v>
                </c:pt>
                <c:pt idx="861">
                  <c:v>0.86113886113886118</c:v>
                </c:pt>
                <c:pt idx="862">
                  <c:v>0.86213786213786214</c:v>
                </c:pt>
                <c:pt idx="863">
                  <c:v>0.86313686313686311</c:v>
                </c:pt>
                <c:pt idx="864">
                  <c:v>0.86413586413586418</c:v>
                </c:pt>
                <c:pt idx="865">
                  <c:v>0.86513486513486515</c:v>
                </c:pt>
                <c:pt idx="866">
                  <c:v>0.86613386613386611</c:v>
                </c:pt>
                <c:pt idx="867">
                  <c:v>0.86713286713286708</c:v>
                </c:pt>
                <c:pt idx="868">
                  <c:v>0.86813186813186816</c:v>
                </c:pt>
                <c:pt idx="869">
                  <c:v>0.86913086913086912</c:v>
                </c:pt>
                <c:pt idx="870">
                  <c:v>0.87012987012987009</c:v>
                </c:pt>
                <c:pt idx="871">
                  <c:v>0.87112887112887116</c:v>
                </c:pt>
                <c:pt idx="872">
                  <c:v>0.87212787212787213</c:v>
                </c:pt>
                <c:pt idx="873">
                  <c:v>0.87312687312687309</c:v>
                </c:pt>
                <c:pt idx="874">
                  <c:v>0.87412587412587417</c:v>
                </c:pt>
                <c:pt idx="875">
                  <c:v>0.87512487512487513</c:v>
                </c:pt>
                <c:pt idx="876">
                  <c:v>0.8761238761238761</c:v>
                </c:pt>
                <c:pt idx="877">
                  <c:v>0.87712287712287718</c:v>
                </c:pt>
                <c:pt idx="878">
                  <c:v>0.87812187812187814</c:v>
                </c:pt>
                <c:pt idx="879">
                  <c:v>0.87912087912087911</c:v>
                </c:pt>
                <c:pt idx="880">
                  <c:v>0.88011988011988007</c:v>
                </c:pt>
                <c:pt idx="881">
                  <c:v>0.88111888111888115</c:v>
                </c:pt>
                <c:pt idx="882">
                  <c:v>0.88211788211788211</c:v>
                </c:pt>
                <c:pt idx="883">
                  <c:v>0.88311688311688308</c:v>
                </c:pt>
                <c:pt idx="884">
                  <c:v>0.88411588411588415</c:v>
                </c:pt>
                <c:pt idx="885">
                  <c:v>0.88511488511488512</c:v>
                </c:pt>
                <c:pt idx="886">
                  <c:v>0.88611388611388608</c:v>
                </c:pt>
                <c:pt idx="887">
                  <c:v>0.88711288711288716</c:v>
                </c:pt>
                <c:pt idx="888">
                  <c:v>0.88811188811188813</c:v>
                </c:pt>
                <c:pt idx="889">
                  <c:v>0.88911088911088909</c:v>
                </c:pt>
                <c:pt idx="890">
                  <c:v>0.89010989010989006</c:v>
                </c:pt>
                <c:pt idx="891">
                  <c:v>0.89110889110889113</c:v>
                </c:pt>
                <c:pt idx="892">
                  <c:v>0.8921078921078921</c:v>
                </c:pt>
                <c:pt idx="893">
                  <c:v>0.89310689310689306</c:v>
                </c:pt>
                <c:pt idx="894">
                  <c:v>0.89410589410589414</c:v>
                </c:pt>
                <c:pt idx="895">
                  <c:v>0.8951048951048951</c:v>
                </c:pt>
                <c:pt idx="896">
                  <c:v>0.89610389610389607</c:v>
                </c:pt>
                <c:pt idx="897">
                  <c:v>0.89710289710289715</c:v>
                </c:pt>
                <c:pt idx="898">
                  <c:v>0.89810189810189811</c:v>
                </c:pt>
                <c:pt idx="899">
                  <c:v>0.89910089910089908</c:v>
                </c:pt>
                <c:pt idx="900">
                  <c:v>0.90009990009990015</c:v>
                </c:pt>
                <c:pt idx="901">
                  <c:v>0.90109890109890112</c:v>
                </c:pt>
                <c:pt idx="902">
                  <c:v>0.90209790209790208</c:v>
                </c:pt>
                <c:pt idx="903">
                  <c:v>0.90309690309690305</c:v>
                </c:pt>
                <c:pt idx="904">
                  <c:v>0.90409590409590412</c:v>
                </c:pt>
                <c:pt idx="905">
                  <c:v>0.90509490509490509</c:v>
                </c:pt>
                <c:pt idx="906">
                  <c:v>0.90609390609390605</c:v>
                </c:pt>
                <c:pt idx="907">
                  <c:v>0.90709290709290713</c:v>
                </c:pt>
                <c:pt idx="908">
                  <c:v>0.9080919080919081</c:v>
                </c:pt>
                <c:pt idx="909">
                  <c:v>0.90909090909090906</c:v>
                </c:pt>
                <c:pt idx="910">
                  <c:v>0.91008991008991014</c:v>
                </c:pt>
                <c:pt idx="911">
                  <c:v>0.9110889110889111</c:v>
                </c:pt>
                <c:pt idx="912">
                  <c:v>0.91208791208791207</c:v>
                </c:pt>
                <c:pt idx="913">
                  <c:v>0.91308691308691303</c:v>
                </c:pt>
                <c:pt idx="914">
                  <c:v>0.91408591408591411</c:v>
                </c:pt>
                <c:pt idx="915">
                  <c:v>0.91508491508491507</c:v>
                </c:pt>
                <c:pt idx="916">
                  <c:v>0.91608391608391604</c:v>
                </c:pt>
                <c:pt idx="917">
                  <c:v>0.91708291708291712</c:v>
                </c:pt>
                <c:pt idx="918">
                  <c:v>0.91808191808191808</c:v>
                </c:pt>
                <c:pt idx="919">
                  <c:v>0.91908091908091905</c:v>
                </c:pt>
                <c:pt idx="920">
                  <c:v>0.92007992007992012</c:v>
                </c:pt>
                <c:pt idx="921">
                  <c:v>0.92107892107892109</c:v>
                </c:pt>
                <c:pt idx="922">
                  <c:v>0.92207792207792205</c:v>
                </c:pt>
                <c:pt idx="923">
                  <c:v>0.92307692307692313</c:v>
                </c:pt>
                <c:pt idx="924">
                  <c:v>0.92407592407592409</c:v>
                </c:pt>
                <c:pt idx="925">
                  <c:v>0.92507492507492506</c:v>
                </c:pt>
                <c:pt idx="926">
                  <c:v>0.92607392607392602</c:v>
                </c:pt>
                <c:pt idx="927">
                  <c:v>0.9270729270729271</c:v>
                </c:pt>
                <c:pt idx="928">
                  <c:v>0.92807192807192807</c:v>
                </c:pt>
                <c:pt idx="929">
                  <c:v>0.92907092907092903</c:v>
                </c:pt>
                <c:pt idx="930">
                  <c:v>0.93006993006993011</c:v>
                </c:pt>
                <c:pt idx="931">
                  <c:v>0.93106893106893107</c:v>
                </c:pt>
                <c:pt idx="932">
                  <c:v>0.93206793206793204</c:v>
                </c:pt>
                <c:pt idx="933">
                  <c:v>0.93306693306693311</c:v>
                </c:pt>
                <c:pt idx="934">
                  <c:v>0.93406593406593408</c:v>
                </c:pt>
                <c:pt idx="935">
                  <c:v>0.93506493506493504</c:v>
                </c:pt>
                <c:pt idx="936">
                  <c:v>0.93606393606393601</c:v>
                </c:pt>
                <c:pt idx="937">
                  <c:v>0.93706293706293708</c:v>
                </c:pt>
                <c:pt idx="938">
                  <c:v>0.93806193806193805</c:v>
                </c:pt>
                <c:pt idx="939">
                  <c:v>0.93906093906093902</c:v>
                </c:pt>
                <c:pt idx="940">
                  <c:v>0.94005994005994009</c:v>
                </c:pt>
                <c:pt idx="941">
                  <c:v>0.94105894105894106</c:v>
                </c:pt>
                <c:pt idx="942">
                  <c:v>0.94205794205794202</c:v>
                </c:pt>
                <c:pt idx="943">
                  <c:v>0.9430569430569431</c:v>
                </c:pt>
                <c:pt idx="944">
                  <c:v>0.94405594405594406</c:v>
                </c:pt>
                <c:pt idx="945">
                  <c:v>0.94505494505494503</c:v>
                </c:pt>
                <c:pt idx="946">
                  <c:v>0.9460539460539461</c:v>
                </c:pt>
                <c:pt idx="947">
                  <c:v>0.94705294705294707</c:v>
                </c:pt>
                <c:pt idx="948">
                  <c:v>0.94805194805194803</c:v>
                </c:pt>
                <c:pt idx="949">
                  <c:v>0.949050949050949</c:v>
                </c:pt>
                <c:pt idx="950">
                  <c:v>0.95004995004995008</c:v>
                </c:pt>
                <c:pt idx="951">
                  <c:v>0.95104895104895104</c:v>
                </c:pt>
                <c:pt idx="952">
                  <c:v>0.95204795204795201</c:v>
                </c:pt>
                <c:pt idx="953">
                  <c:v>0.95304695304695308</c:v>
                </c:pt>
                <c:pt idx="954">
                  <c:v>0.95404595404595405</c:v>
                </c:pt>
                <c:pt idx="955">
                  <c:v>0.95504495504495501</c:v>
                </c:pt>
                <c:pt idx="956">
                  <c:v>0.95604395604395609</c:v>
                </c:pt>
                <c:pt idx="957">
                  <c:v>0.95704295704295705</c:v>
                </c:pt>
                <c:pt idx="958">
                  <c:v>0.95804195804195802</c:v>
                </c:pt>
                <c:pt idx="959">
                  <c:v>0.9590409590409591</c:v>
                </c:pt>
                <c:pt idx="960">
                  <c:v>0.96003996003996006</c:v>
                </c:pt>
                <c:pt idx="961">
                  <c:v>0.96103896103896103</c:v>
                </c:pt>
                <c:pt idx="962">
                  <c:v>0.96203796203796199</c:v>
                </c:pt>
                <c:pt idx="963">
                  <c:v>0.96303696303696307</c:v>
                </c:pt>
                <c:pt idx="964">
                  <c:v>0.96403596403596403</c:v>
                </c:pt>
                <c:pt idx="965">
                  <c:v>0.965034965034965</c:v>
                </c:pt>
                <c:pt idx="966">
                  <c:v>0.96603396603396607</c:v>
                </c:pt>
                <c:pt idx="967">
                  <c:v>0.96703296703296704</c:v>
                </c:pt>
                <c:pt idx="968">
                  <c:v>0.968031968031968</c:v>
                </c:pt>
                <c:pt idx="969">
                  <c:v>0.96903096903096908</c:v>
                </c:pt>
                <c:pt idx="970">
                  <c:v>0.97002997002997005</c:v>
                </c:pt>
                <c:pt idx="971">
                  <c:v>0.97102897102897101</c:v>
                </c:pt>
                <c:pt idx="972">
                  <c:v>0.97202797202797198</c:v>
                </c:pt>
                <c:pt idx="973">
                  <c:v>0.97302697302697305</c:v>
                </c:pt>
                <c:pt idx="974">
                  <c:v>0.97402597402597402</c:v>
                </c:pt>
                <c:pt idx="975">
                  <c:v>0.97502497502497498</c:v>
                </c:pt>
                <c:pt idx="976">
                  <c:v>0.97602397602397606</c:v>
                </c:pt>
                <c:pt idx="977">
                  <c:v>0.97702297702297702</c:v>
                </c:pt>
                <c:pt idx="978">
                  <c:v>0.97802197802197799</c:v>
                </c:pt>
                <c:pt idx="979">
                  <c:v>0.97902097902097907</c:v>
                </c:pt>
                <c:pt idx="980">
                  <c:v>0.98001998001998003</c:v>
                </c:pt>
                <c:pt idx="981">
                  <c:v>0.981018981018981</c:v>
                </c:pt>
                <c:pt idx="982">
                  <c:v>0.98201798201798207</c:v>
                </c:pt>
                <c:pt idx="983">
                  <c:v>0.98301698301698304</c:v>
                </c:pt>
                <c:pt idx="984">
                  <c:v>0.984015984015984</c:v>
                </c:pt>
                <c:pt idx="985">
                  <c:v>0.98501498501498497</c:v>
                </c:pt>
                <c:pt idx="986">
                  <c:v>0.98601398601398604</c:v>
                </c:pt>
                <c:pt idx="987">
                  <c:v>0.98701298701298701</c:v>
                </c:pt>
                <c:pt idx="988">
                  <c:v>0.98801198801198797</c:v>
                </c:pt>
                <c:pt idx="989">
                  <c:v>0.98901098901098905</c:v>
                </c:pt>
                <c:pt idx="990">
                  <c:v>0.99000999000999002</c:v>
                </c:pt>
                <c:pt idx="991">
                  <c:v>0.99100899100899098</c:v>
                </c:pt>
                <c:pt idx="992">
                  <c:v>0.99200799200799206</c:v>
                </c:pt>
                <c:pt idx="993">
                  <c:v>0.99300699300699302</c:v>
                </c:pt>
                <c:pt idx="994">
                  <c:v>0.99400599400599399</c:v>
                </c:pt>
                <c:pt idx="995">
                  <c:v>0.99500499500499495</c:v>
                </c:pt>
                <c:pt idx="996">
                  <c:v>0.99600399600399603</c:v>
                </c:pt>
                <c:pt idx="997">
                  <c:v>0.99700299700299699</c:v>
                </c:pt>
                <c:pt idx="998">
                  <c:v>0.99800199800199796</c:v>
                </c:pt>
                <c:pt idx="999">
                  <c:v>0.99900099900099903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01-4D30-889C-E9751428B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15696"/>
        <c:axId val="323096800"/>
      </c:scatterChart>
      <c:scatterChart>
        <c:scatterStyle val="smoothMarker"/>
        <c:varyColors val="0"/>
        <c:ser>
          <c:idx val="0"/>
          <c:order val="0"/>
          <c:tx>
            <c:strRef>
              <c:f>Arkusz1!$M$1</c:f>
              <c:strCache>
                <c:ptCount val="1"/>
                <c:pt idx="0">
                  <c:v>Dystrybuanta teoretyczna rozkładu ln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Arkusz1!$B$2:$B$1001</c:f>
              <c:numCache>
                <c:formatCode>General</c:formatCode>
                <c:ptCount val="1000"/>
                <c:pt idx="0">
                  <c:v>390</c:v>
                </c:pt>
                <c:pt idx="1">
                  <c:v>390.6</c:v>
                </c:pt>
                <c:pt idx="2">
                  <c:v>390.7</c:v>
                </c:pt>
                <c:pt idx="3">
                  <c:v>391.2</c:v>
                </c:pt>
                <c:pt idx="4">
                  <c:v>391.3</c:v>
                </c:pt>
                <c:pt idx="5">
                  <c:v>391.6</c:v>
                </c:pt>
                <c:pt idx="6">
                  <c:v>391.7</c:v>
                </c:pt>
                <c:pt idx="7">
                  <c:v>391.8</c:v>
                </c:pt>
                <c:pt idx="8">
                  <c:v>391.8</c:v>
                </c:pt>
                <c:pt idx="9">
                  <c:v>391.8</c:v>
                </c:pt>
                <c:pt idx="10">
                  <c:v>392</c:v>
                </c:pt>
                <c:pt idx="11">
                  <c:v>392</c:v>
                </c:pt>
                <c:pt idx="12">
                  <c:v>392.1</c:v>
                </c:pt>
                <c:pt idx="13">
                  <c:v>392.2</c:v>
                </c:pt>
                <c:pt idx="14">
                  <c:v>392.3</c:v>
                </c:pt>
                <c:pt idx="15">
                  <c:v>392.3</c:v>
                </c:pt>
                <c:pt idx="16">
                  <c:v>392.4</c:v>
                </c:pt>
                <c:pt idx="17">
                  <c:v>392.4</c:v>
                </c:pt>
                <c:pt idx="18">
                  <c:v>392.5</c:v>
                </c:pt>
                <c:pt idx="19">
                  <c:v>392.7</c:v>
                </c:pt>
                <c:pt idx="20">
                  <c:v>392.7</c:v>
                </c:pt>
                <c:pt idx="21">
                  <c:v>392.8</c:v>
                </c:pt>
                <c:pt idx="22">
                  <c:v>392.8</c:v>
                </c:pt>
                <c:pt idx="23">
                  <c:v>392.9</c:v>
                </c:pt>
                <c:pt idx="24">
                  <c:v>393.1</c:v>
                </c:pt>
                <c:pt idx="25">
                  <c:v>393.1</c:v>
                </c:pt>
                <c:pt idx="26">
                  <c:v>393.1</c:v>
                </c:pt>
                <c:pt idx="27">
                  <c:v>393.4</c:v>
                </c:pt>
                <c:pt idx="28">
                  <c:v>393.5</c:v>
                </c:pt>
                <c:pt idx="29">
                  <c:v>393.5</c:v>
                </c:pt>
                <c:pt idx="30">
                  <c:v>393.6</c:v>
                </c:pt>
                <c:pt idx="31">
                  <c:v>393.6</c:v>
                </c:pt>
                <c:pt idx="32">
                  <c:v>393.7</c:v>
                </c:pt>
                <c:pt idx="33">
                  <c:v>393.8</c:v>
                </c:pt>
                <c:pt idx="34">
                  <c:v>393.9</c:v>
                </c:pt>
                <c:pt idx="35">
                  <c:v>393.9</c:v>
                </c:pt>
                <c:pt idx="36">
                  <c:v>393.9</c:v>
                </c:pt>
                <c:pt idx="37">
                  <c:v>394</c:v>
                </c:pt>
                <c:pt idx="38">
                  <c:v>394</c:v>
                </c:pt>
                <c:pt idx="39">
                  <c:v>394.1</c:v>
                </c:pt>
                <c:pt idx="40">
                  <c:v>394.1</c:v>
                </c:pt>
                <c:pt idx="41">
                  <c:v>394.1</c:v>
                </c:pt>
                <c:pt idx="42">
                  <c:v>394.1</c:v>
                </c:pt>
                <c:pt idx="43">
                  <c:v>394.2</c:v>
                </c:pt>
                <c:pt idx="44">
                  <c:v>394.2</c:v>
                </c:pt>
                <c:pt idx="45">
                  <c:v>394.2</c:v>
                </c:pt>
                <c:pt idx="46">
                  <c:v>394.3</c:v>
                </c:pt>
                <c:pt idx="47">
                  <c:v>394.3</c:v>
                </c:pt>
                <c:pt idx="48">
                  <c:v>394.3</c:v>
                </c:pt>
                <c:pt idx="49">
                  <c:v>394.4</c:v>
                </c:pt>
                <c:pt idx="50">
                  <c:v>394.4</c:v>
                </c:pt>
                <c:pt idx="51">
                  <c:v>394.4</c:v>
                </c:pt>
                <c:pt idx="52">
                  <c:v>394.4</c:v>
                </c:pt>
                <c:pt idx="53">
                  <c:v>394.4</c:v>
                </c:pt>
                <c:pt idx="54">
                  <c:v>394.4</c:v>
                </c:pt>
                <c:pt idx="55">
                  <c:v>394.5</c:v>
                </c:pt>
                <c:pt idx="56">
                  <c:v>394.5</c:v>
                </c:pt>
                <c:pt idx="57">
                  <c:v>394.5</c:v>
                </c:pt>
                <c:pt idx="58">
                  <c:v>394.5</c:v>
                </c:pt>
                <c:pt idx="59">
                  <c:v>394.5</c:v>
                </c:pt>
                <c:pt idx="60">
                  <c:v>394.6</c:v>
                </c:pt>
                <c:pt idx="61">
                  <c:v>394.7</c:v>
                </c:pt>
                <c:pt idx="62">
                  <c:v>394.7</c:v>
                </c:pt>
                <c:pt idx="63">
                  <c:v>394.7</c:v>
                </c:pt>
                <c:pt idx="64">
                  <c:v>394.7</c:v>
                </c:pt>
                <c:pt idx="65">
                  <c:v>394.8</c:v>
                </c:pt>
                <c:pt idx="66">
                  <c:v>394.8</c:v>
                </c:pt>
                <c:pt idx="67">
                  <c:v>394.8</c:v>
                </c:pt>
                <c:pt idx="68">
                  <c:v>394.8</c:v>
                </c:pt>
                <c:pt idx="69">
                  <c:v>394.8</c:v>
                </c:pt>
                <c:pt idx="70">
                  <c:v>394.9</c:v>
                </c:pt>
                <c:pt idx="71">
                  <c:v>394.9</c:v>
                </c:pt>
                <c:pt idx="72">
                  <c:v>394.9</c:v>
                </c:pt>
                <c:pt idx="73">
                  <c:v>394.9</c:v>
                </c:pt>
                <c:pt idx="74">
                  <c:v>394.9</c:v>
                </c:pt>
                <c:pt idx="75">
                  <c:v>394.9</c:v>
                </c:pt>
                <c:pt idx="76">
                  <c:v>394.9</c:v>
                </c:pt>
                <c:pt idx="77">
                  <c:v>395</c:v>
                </c:pt>
                <c:pt idx="78">
                  <c:v>395</c:v>
                </c:pt>
                <c:pt idx="79">
                  <c:v>395</c:v>
                </c:pt>
                <c:pt idx="80">
                  <c:v>395</c:v>
                </c:pt>
                <c:pt idx="81">
                  <c:v>395.1</c:v>
                </c:pt>
                <c:pt idx="82">
                  <c:v>395.1</c:v>
                </c:pt>
                <c:pt idx="83">
                  <c:v>395.1</c:v>
                </c:pt>
                <c:pt idx="84">
                  <c:v>395.1</c:v>
                </c:pt>
                <c:pt idx="85">
                  <c:v>395.1</c:v>
                </c:pt>
                <c:pt idx="86">
                  <c:v>395.2</c:v>
                </c:pt>
                <c:pt idx="87">
                  <c:v>395.2</c:v>
                </c:pt>
                <c:pt idx="88">
                  <c:v>395.2</c:v>
                </c:pt>
                <c:pt idx="89">
                  <c:v>395.2</c:v>
                </c:pt>
                <c:pt idx="90">
                  <c:v>395.5</c:v>
                </c:pt>
                <c:pt idx="91">
                  <c:v>395.6</c:v>
                </c:pt>
                <c:pt idx="92">
                  <c:v>395.7</c:v>
                </c:pt>
                <c:pt idx="93">
                  <c:v>395.7</c:v>
                </c:pt>
                <c:pt idx="94">
                  <c:v>395.7</c:v>
                </c:pt>
                <c:pt idx="95">
                  <c:v>395.8</c:v>
                </c:pt>
                <c:pt idx="96">
                  <c:v>395.9</c:v>
                </c:pt>
                <c:pt idx="97">
                  <c:v>395.9</c:v>
                </c:pt>
                <c:pt idx="98">
                  <c:v>395.9</c:v>
                </c:pt>
                <c:pt idx="99">
                  <c:v>396</c:v>
                </c:pt>
                <c:pt idx="100">
                  <c:v>396.1</c:v>
                </c:pt>
                <c:pt idx="101">
                  <c:v>396.3</c:v>
                </c:pt>
                <c:pt idx="102">
                  <c:v>396.4</c:v>
                </c:pt>
                <c:pt idx="103">
                  <c:v>396.4</c:v>
                </c:pt>
                <c:pt idx="104">
                  <c:v>396.4</c:v>
                </c:pt>
                <c:pt idx="105">
                  <c:v>396.5</c:v>
                </c:pt>
                <c:pt idx="106">
                  <c:v>396.6</c:v>
                </c:pt>
                <c:pt idx="107">
                  <c:v>396.6</c:v>
                </c:pt>
                <c:pt idx="108">
                  <c:v>396.6</c:v>
                </c:pt>
                <c:pt idx="109">
                  <c:v>396.7</c:v>
                </c:pt>
                <c:pt idx="110">
                  <c:v>396.7</c:v>
                </c:pt>
                <c:pt idx="111">
                  <c:v>396.7</c:v>
                </c:pt>
                <c:pt idx="112">
                  <c:v>396.8</c:v>
                </c:pt>
                <c:pt idx="113">
                  <c:v>396.9</c:v>
                </c:pt>
                <c:pt idx="114">
                  <c:v>396.9</c:v>
                </c:pt>
                <c:pt idx="115">
                  <c:v>396.9</c:v>
                </c:pt>
                <c:pt idx="116">
                  <c:v>396.9</c:v>
                </c:pt>
                <c:pt idx="117">
                  <c:v>396.9</c:v>
                </c:pt>
                <c:pt idx="118">
                  <c:v>397</c:v>
                </c:pt>
                <c:pt idx="119">
                  <c:v>397</c:v>
                </c:pt>
                <c:pt idx="120">
                  <c:v>397</c:v>
                </c:pt>
                <c:pt idx="121">
                  <c:v>397</c:v>
                </c:pt>
                <c:pt idx="122">
                  <c:v>397</c:v>
                </c:pt>
                <c:pt idx="123">
                  <c:v>397.1</c:v>
                </c:pt>
                <c:pt idx="124">
                  <c:v>397.1</c:v>
                </c:pt>
                <c:pt idx="125">
                  <c:v>397.1</c:v>
                </c:pt>
                <c:pt idx="126">
                  <c:v>397.1</c:v>
                </c:pt>
                <c:pt idx="127">
                  <c:v>397.1</c:v>
                </c:pt>
                <c:pt idx="128">
                  <c:v>397.2</c:v>
                </c:pt>
                <c:pt idx="129">
                  <c:v>397.2</c:v>
                </c:pt>
                <c:pt idx="130">
                  <c:v>397.2</c:v>
                </c:pt>
                <c:pt idx="131">
                  <c:v>397.2</c:v>
                </c:pt>
                <c:pt idx="132">
                  <c:v>397.3</c:v>
                </c:pt>
                <c:pt idx="133">
                  <c:v>397.4</c:v>
                </c:pt>
                <c:pt idx="134">
                  <c:v>397.4</c:v>
                </c:pt>
                <c:pt idx="135">
                  <c:v>397.5</c:v>
                </c:pt>
                <c:pt idx="136">
                  <c:v>397.5</c:v>
                </c:pt>
                <c:pt idx="137">
                  <c:v>397.5</c:v>
                </c:pt>
                <c:pt idx="138">
                  <c:v>397.6</c:v>
                </c:pt>
                <c:pt idx="139">
                  <c:v>397.6</c:v>
                </c:pt>
                <c:pt idx="140">
                  <c:v>397.6</c:v>
                </c:pt>
                <c:pt idx="141">
                  <c:v>397.7</c:v>
                </c:pt>
                <c:pt idx="142">
                  <c:v>397.7</c:v>
                </c:pt>
                <c:pt idx="143">
                  <c:v>397.7</c:v>
                </c:pt>
                <c:pt idx="144">
                  <c:v>397.8</c:v>
                </c:pt>
                <c:pt idx="145">
                  <c:v>397.8</c:v>
                </c:pt>
                <c:pt idx="146">
                  <c:v>397.8</c:v>
                </c:pt>
                <c:pt idx="147">
                  <c:v>397.8</c:v>
                </c:pt>
                <c:pt idx="148">
                  <c:v>397.9</c:v>
                </c:pt>
                <c:pt idx="149">
                  <c:v>397.9</c:v>
                </c:pt>
                <c:pt idx="150">
                  <c:v>397.9</c:v>
                </c:pt>
                <c:pt idx="151">
                  <c:v>398</c:v>
                </c:pt>
                <c:pt idx="152">
                  <c:v>398</c:v>
                </c:pt>
                <c:pt idx="153">
                  <c:v>398.1</c:v>
                </c:pt>
                <c:pt idx="154">
                  <c:v>398.1</c:v>
                </c:pt>
                <c:pt idx="155">
                  <c:v>398.1</c:v>
                </c:pt>
                <c:pt idx="156">
                  <c:v>398.1</c:v>
                </c:pt>
                <c:pt idx="157">
                  <c:v>398.1</c:v>
                </c:pt>
                <c:pt idx="158">
                  <c:v>398.1</c:v>
                </c:pt>
                <c:pt idx="159">
                  <c:v>398.1</c:v>
                </c:pt>
                <c:pt idx="160">
                  <c:v>398.1</c:v>
                </c:pt>
                <c:pt idx="161">
                  <c:v>398.1</c:v>
                </c:pt>
                <c:pt idx="162">
                  <c:v>398.1</c:v>
                </c:pt>
                <c:pt idx="163">
                  <c:v>398.2</c:v>
                </c:pt>
                <c:pt idx="164">
                  <c:v>398.2</c:v>
                </c:pt>
                <c:pt idx="165">
                  <c:v>398.2</c:v>
                </c:pt>
                <c:pt idx="166">
                  <c:v>398.2</c:v>
                </c:pt>
                <c:pt idx="167">
                  <c:v>398.3</c:v>
                </c:pt>
                <c:pt idx="168">
                  <c:v>398.3</c:v>
                </c:pt>
                <c:pt idx="169">
                  <c:v>398.3</c:v>
                </c:pt>
                <c:pt idx="170">
                  <c:v>398.3</c:v>
                </c:pt>
                <c:pt idx="171">
                  <c:v>398.3</c:v>
                </c:pt>
                <c:pt idx="172">
                  <c:v>398.4</c:v>
                </c:pt>
                <c:pt idx="173">
                  <c:v>398.4</c:v>
                </c:pt>
                <c:pt idx="174">
                  <c:v>398.4</c:v>
                </c:pt>
                <c:pt idx="175">
                  <c:v>398.4</c:v>
                </c:pt>
                <c:pt idx="176">
                  <c:v>398.4</c:v>
                </c:pt>
                <c:pt idx="177">
                  <c:v>398.4</c:v>
                </c:pt>
                <c:pt idx="178">
                  <c:v>398.4</c:v>
                </c:pt>
                <c:pt idx="179">
                  <c:v>398.4</c:v>
                </c:pt>
                <c:pt idx="180">
                  <c:v>398.4</c:v>
                </c:pt>
                <c:pt idx="181">
                  <c:v>398.5</c:v>
                </c:pt>
                <c:pt idx="182">
                  <c:v>398.5</c:v>
                </c:pt>
                <c:pt idx="183">
                  <c:v>398.5</c:v>
                </c:pt>
                <c:pt idx="184">
                  <c:v>398.5</c:v>
                </c:pt>
                <c:pt idx="185">
                  <c:v>398.5</c:v>
                </c:pt>
                <c:pt idx="186">
                  <c:v>398.5</c:v>
                </c:pt>
                <c:pt idx="187">
                  <c:v>398.5</c:v>
                </c:pt>
                <c:pt idx="188">
                  <c:v>398.5</c:v>
                </c:pt>
                <c:pt idx="189">
                  <c:v>398.6</c:v>
                </c:pt>
                <c:pt idx="190">
                  <c:v>398.6</c:v>
                </c:pt>
                <c:pt idx="191">
                  <c:v>398.6</c:v>
                </c:pt>
                <c:pt idx="192">
                  <c:v>398.6</c:v>
                </c:pt>
                <c:pt idx="193">
                  <c:v>398.6</c:v>
                </c:pt>
                <c:pt idx="194">
                  <c:v>398.6</c:v>
                </c:pt>
                <c:pt idx="195">
                  <c:v>398.6</c:v>
                </c:pt>
                <c:pt idx="196">
                  <c:v>398.6</c:v>
                </c:pt>
                <c:pt idx="197">
                  <c:v>398.7</c:v>
                </c:pt>
                <c:pt idx="198">
                  <c:v>398.7</c:v>
                </c:pt>
                <c:pt idx="199">
                  <c:v>398.7</c:v>
                </c:pt>
                <c:pt idx="200">
                  <c:v>398.7</c:v>
                </c:pt>
                <c:pt idx="201">
                  <c:v>398.7</c:v>
                </c:pt>
                <c:pt idx="202">
                  <c:v>398.7</c:v>
                </c:pt>
                <c:pt idx="203">
                  <c:v>398.7</c:v>
                </c:pt>
                <c:pt idx="204">
                  <c:v>398.7</c:v>
                </c:pt>
                <c:pt idx="205">
                  <c:v>398.7</c:v>
                </c:pt>
                <c:pt idx="206">
                  <c:v>398.8</c:v>
                </c:pt>
                <c:pt idx="207">
                  <c:v>398.8</c:v>
                </c:pt>
                <c:pt idx="208">
                  <c:v>398.8</c:v>
                </c:pt>
                <c:pt idx="209">
                  <c:v>398.8</c:v>
                </c:pt>
                <c:pt idx="210">
                  <c:v>398.8</c:v>
                </c:pt>
                <c:pt idx="211">
                  <c:v>398.8</c:v>
                </c:pt>
                <c:pt idx="212">
                  <c:v>398.8</c:v>
                </c:pt>
                <c:pt idx="213">
                  <c:v>398.8</c:v>
                </c:pt>
                <c:pt idx="214">
                  <c:v>398.8</c:v>
                </c:pt>
                <c:pt idx="215">
                  <c:v>398.9</c:v>
                </c:pt>
                <c:pt idx="216">
                  <c:v>398.9</c:v>
                </c:pt>
                <c:pt idx="217">
                  <c:v>398.9</c:v>
                </c:pt>
                <c:pt idx="218">
                  <c:v>398.9</c:v>
                </c:pt>
                <c:pt idx="219">
                  <c:v>398.9</c:v>
                </c:pt>
                <c:pt idx="220">
                  <c:v>398.9</c:v>
                </c:pt>
                <c:pt idx="221">
                  <c:v>398.9</c:v>
                </c:pt>
                <c:pt idx="222">
                  <c:v>398.9</c:v>
                </c:pt>
                <c:pt idx="223">
                  <c:v>398.9</c:v>
                </c:pt>
                <c:pt idx="224">
                  <c:v>398.9</c:v>
                </c:pt>
                <c:pt idx="225">
                  <c:v>398.9</c:v>
                </c:pt>
                <c:pt idx="226">
                  <c:v>399</c:v>
                </c:pt>
                <c:pt idx="227">
                  <c:v>399</c:v>
                </c:pt>
                <c:pt idx="228">
                  <c:v>399</c:v>
                </c:pt>
                <c:pt idx="229">
                  <c:v>399</c:v>
                </c:pt>
                <c:pt idx="230">
                  <c:v>399</c:v>
                </c:pt>
                <c:pt idx="231">
                  <c:v>399</c:v>
                </c:pt>
                <c:pt idx="232">
                  <c:v>399</c:v>
                </c:pt>
                <c:pt idx="233">
                  <c:v>399</c:v>
                </c:pt>
                <c:pt idx="234">
                  <c:v>399</c:v>
                </c:pt>
                <c:pt idx="235">
                  <c:v>399</c:v>
                </c:pt>
                <c:pt idx="236">
                  <c:v>399.1</c:v>
                </c:pt>
                <c:pt idx="237">
                  <c:v>399.1</c:v>
                </c:pt>
                <c:pt idx="238">
                  <c:v>399.1</c:v>
                </c:pt>
                <c:pt idx="239">
                  <c:v>399.1</c:v>
                </c:pt>
                <c:pt idx="240">
                  <c:v>399.1</c:v>
                </c:pt>
                <c:pt idx="241">
                  <c:v>399.1</c:v>
                </c:pt>
                <c:pt idx="242">
                  <c:v>399.1</c:v>
                </c:pt>
                <c:pt idx="243">
                  <c:v>399.1</c:v>
                </c:pt>
                <c:pt idx="244">
                  <c:v>399.1</c:v>
                </c:pt>
                <c:pt idx="245">
                  <c:v>399.1</c:v>
                </c:pt>
                <c:pt idx="246">
                  <c:v>399.1</c:v>
                </c:pt>
                <c:pt idx="247">
                  <c:v>399.1</c:v>
                </c:pt>
                <c:pt idx="248">
                  <c:v>399.2</c:v>
                </c:pt>
                <c:pt idx="249">
                  <c:v>399.2</c:v>
                </c:pt>
                <c:pt idx="250">
                  <c:v>399.2</c:v>
                </c:pt>
                <c:pt idx="251">
                  <c:v>399.2</c:v>
                </c:pt>
                <c:pt idx="252">
                  <c:v>399.2</c:v>
                </c:pt>
                <c:pt idx="253">
                  <c:v>399.2</c:v>
                </c:pt>
                <c:pt idx="254">
                  <c:v>399.2</c:v>
                </c:pt>
                <c:pt idx="255">
                  <c:v>399.2</c:v>
                </c:pt>
                <c:pt idx="256">
                  <c:v>399.2</c:v>
                </c:pt>
                <c:pt idx="257">
                  <c:v>399.2</c:v>
                </c:pt>
                <c:pt idx="258">
                  <c:v>399.3</c:v>
                </c:pt>
                <c:pt idx="259">
                  <c:v>399.3</c:v>
                </c:pt>
                <c:pt idx="260">
                  <c:v>399.3</c:v>
                </c:pt>
                <c:pt idx="261">
                  <c:v>399.3</c:v>
                </c:pt>
                <c:pt idx="262">
                  <c:v>399.3</c:v>
                </c:pt>
                <c:pt idx="263">
                  <c:v>399.3</c:v>
                </c:pt>
                <c:pt idx="264">
                  <c:v>399.3</c:v>
                </c:pt>
                <c:pt idx="265">
                  <c:v>399.3</c:v>
                </c:pt>
                <c:pt idx="266">
                  <c:v>399.3</c:v>
                </c:pt>
                <c:pt idx="267">
                  <c:v>399.3</c:v>
                </c:pt>
                <c:pt idx="268">
                  <c:v>399.4</c:v>
                </c:pt>
                <c:pt idx="269">
                  <c:v>399.4</c:v>
                </c:pt>
                <c:pt idx="270">
                  <c:v>399.4</c:v>
                </c:pt>
                <c:pt idx="271">
                  <c:v>399.4</c:v>
                </c:pt>
                <c:pt idx="272">
                  <c:v>399.4</c:v>
                </c:pt>
                <c:pt idx="273">
                  <c:v>399.4</c:v>
                </c:pt>
                <c:pt idx="274">
                  <c:v>399.4</c:v>
                </c:pt>
                <c:pt idx="275">
                  <c:v>399.4</c:v>
                </c:pt>
                <c:pt idx="276">
                  <c:v>399.4</c:v>
                </c:pt>
                <c:pt idx="277">
                  <c:v>399.4</c:v>
                </c:pt>
                <c:pt idx="278">
                  <c:v>399.4</c:v>
                </c:pt>
                <c:pt idx="279">
                  <c:v>399.4</c:v>
                </c:pt>
                <c:pt idx="280">
                  <c:v>399.4</c:v>
                </c:pt>
                <c:pt idx="281">
                  <c:v>399.4</c:v>
                </c:pt>
                <c:pt idx="282">
                  <c:v>399.4</c:v>
                </c:pt>
                <c:pt idx="283">
                  <c:v>399.5</c:v>
                </c:pt>
                <c:pt idx="284">
                  <c:v>399.5</c:v>
                </c:pt>
                <c:pt idx="285">
                  <c:v>399.5</c:v>
                </c:pt>
                <c:pt idx="286">
                  <c:v>399.5</c:v>
                </c:pt>
                <c:pt idx="287">
                  <c:v>399.5</c:v>
                </c:pt>
                <c:pt idx="288">
                  <c:v>399.5</c:v>
                </c:pt>
                <c:pt idx="289">
                  <c:v>399.5</c:v>
                </c:pt>
                <c:pt idx="290">
                  <c:v>399.5</c:v>
                </c:pt>
                <c:pt idx="291">
                  <c:v>399.5</c:v>
                </c:pt>
                <c:pt idx="292">
                  <c:v>399.5</c:v>
                </c:pt>
                <c:pt idx="293">
                  <c:v>399.5</c:v>
                </c:pt>
                <c:pt idx="294">
                  <c:v>399.6</c:v>
                </c:pt>
                <c:pt idx="295">
                  <c:v>399.6</c:v>
                </c:pt>
                <c:pt idx="296">
                  <c:v>399.6</c:v>
                </c:pt>
                <c:pt idx="297">
                  <c:v>399.6</c:v>
                </c:pt>
                <c:pt idx="298">
                  <c:v>399.6</c:v>
                </c:pt>
                <c:pt idx="299">
                  <c:v>399.7</c:v>
                </c:pt>
                <c:pt idx="300">
                  <c:v>399.7</c:v>
                </c:pt>
                <c:pt idx="301">
                  <c:v>399.7</c:v>
                </c:pt>
                <c:pt idx="302">
                  <c:v>399.7</c:v>
                </c:pt>
                <c:pt idx="303">
                  <c:v>399.7</c:v>
                </c:pt>
                <c:pt idx="304">
                  <c:v>399.7</c:v>
                </c:pt>
                <c:pt idx="305">
                  <c:v>399.7</c:v>
                </c:pt>
                <c:pt idx="306">
                  <c:v>399.7</c:v>
                </c:pt>
                <c:pt idx="307">
                  <c:v>399.8</c:v>
                </c:pt>
                <c:pt idx="308">
                  <c:v>399.8</c:v>
                </c:pt>
                <c:pt idx="309">
                  <c:v>399.8</c:v>
                </c:pt>
                <c:pt idx="310">
                  <c:v>399.8</c:v>
                </c:pt>
                <c:pt idx="311">
                  <c:v>399.8</c:v>
                </c:pt>
                <c:pt idx="312">
                  <c:v>399.9</c:v>
                </c:pt>
                <c:pt idx="313">
                  <c:v>399.9</c:v>
                </c:pt>
                <c:pt idx="314">
                  <c:v>399.9</c:v>
                </c:pt>
                <c:pt idx="315">
                  <c:v>399.9</c:v>
                </c:pt>
                <c:pt idx="316">
                  <c:v>399.9</c:v>
                </c:pt>
                <c:pt idx="317">
                  <c:v>399.9</c:v>
                </c:pt>
                <c:pt idx="318">
                  <c:v>399.9</c:v>
                </c:pt>
                <c:pt idx="319">
                  <c:v>399.9</c:v>
                </c:pt>
                <c:pt idx="320">
                  <c:v>399.9</c:v>
                </c:pt>
                <c:pt idx="321">
                  <c:v>399.9</c:v>
                </c:pt>
                <c:pt idx="322">
                  <c:v>399.9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400.1</c:v>
                </c:pt>
                <c:pt idx="331">
                  <c:v>400.1</c:v>
                </c:pt>
                <c:pt idx="332">
                  <c:v>400.1</c:v>
                </c:pt>
                <c:pt idx="333">
                  <c:v>400.1</c:v>
                </c:pt>
                <c:pt idx="334">
                  <c:v>400.1</c:v>
                </c:pt>
                <c:pt idx="335">
                  <c:v>400.2</c:v>
                </c:pt>
                <c:pt idx="336">
                  <c:v>400.2</c:v>
                </c:pt>
                <c:pt idx="337">
                  <c:v>400.2</c:v>
                </c:pt>
                <c:pt idx="338">
                  <c:v>400.2</c:v>
                </c:pt>
                <c:pt idx="339">
                  <c:v>400.2</c:v>
                </c:pt>
                <c:pt idx="340">
                  <c:v>400.2</c:v>
                </c:pt>
                <c:pt idx="341">
                  <c:v>400.2</c:v>
                </c:pt>
                <c:pt idx="342">
                  <c:v>400.2</c:v>
                </c:pt>
                <c:pt idx="343">
                  <c:v>400.2</c:v>
                </c:pt>
                <c:pt idx="344">
                  <c:v>400.2</c:v>
                </c:pt>
                <c:pt idx="345">
                  <c:v>400.3</c:v>
                </c:pt>
                <c:pt idx="346">
                  <c:v>400.3</c:v>
                </c:pt>
                <c:pt idx="347">
                  <c:v>400.3</c:v>
                </c:pt>
                <c:pt idx="348">
                  <c:v>400.3</c:v>
                </c:pt>
                <c:pt idx="349">
                  <c:v>400.3</c:v>
                </c:pt>
                <c:pt idx="350">
                  <c:v>400.3</c:v>
                </c:pt>
                <c:pt idx="351">
                  <c:v>400.4</c:v>
                </c:pt>
                <c:pt idx="352">
                  <c:v>400.4</c:v>
                </c:pt>
                <c:pt idx="353">
                  <c:v>400.4</c:v>
                </c:pt>
                <c:pt idx="354">
                  <c:v>400.4</c:v>
                </c:pt>
                <c:pt idx="355">
                  <c:v>400.4</c:v>
                </c:pt>
                <c:pt idx="356">
                  <c:v>400.4</c:v>
                </c:pt>
                <c:pt idx="357">
                  <c:v>400.4</c:v>
                </c:pt>
                <c:pt idx="358">
                  <c:v>400.4</c:v>
                </c:pt>
                <c:pt idx="359">
                  <c:v>400.4</c:v>
                </c:pt>
                <c:pt idx="360">
                  <c:v>400.4</c:v>
                </c:pt>
                <c:pt idx="361">
                  <c:v>400.4</c:v>
                </c:pt>
                <c:pt idx="362">
                  <c:v>400.4</c:v>
                </c:pt>
                <c:pt idx="363">
                  <c:v>400.4</c:v>
                </c:pt>
                <c:pt idx="364">
                  <c:v>400.4</c:v>
                </c:pt>
                <c:pt idx="365">
                  <c:v>400.4</c:v>
                </c:pt>
                <c:pt idx="366">
                  <c:v>400.4</c:v>
                </c:pt>
                <c:pt idx="367">
                  <c:v>400.4</c:v>
                </c:pt>
                <c:pt idx="368">
                  <c:v>400.4</c:v>
                </c:pt>
                <c:pt idx="369">
                  <c:v>400.4</c:v>
                </c:pt>
                <c:pt idx="370">
                  <c:v>400.5</c:v>
                </c:pt>
                <c:pt idx="371">
                  <c:v>400.5</c:v>
                </c:pt>
                <c:pt idx="372">
                  <c:v>400.5</c:v>
                </c:pt>
                <c:pt idx="373">
                  <c:v>400.5</c:v>
                </c:pt>
                <c:pt idx="374">
                  <c:v>400.5</c:v>
                </c:pt>
                <c:pt idx="375">
                  <c:v>400.5</c:v>
                </c:pt>
                <c:pt idx="376">
                  <c:v>400.5</c:v>
                </c:pt>
                <c:pt idx="377">
                  <c:v>400.5</c:v>
                </c:pt>
                <c:pt idx="378">
                  <c:v>400.5</c:v>
                </c:pt>
                <c:pt idx="379">
                  <c:v>400.5</c:v>
                </c:pt>
                <c:pt idx="380">
                  <c:v>400.5</c:v>
                </c:pt>
                <c:pt idx="381">
                  <c:v>400.5</c:v>
                </c:pt>
                <c:pt idx="382">
                  <c:v>400.5</c:v>
                </c:pt>
                <c:pt idx="383">
                  <c:v>400.5</c:v>
                </c:pt>
                <c:pt idx="384">
                  <c:v>400.6</c:v>
                </c:pt>
                <c:pt idx="385">
                  <c:v>400.6</c:v>
                </c:pt>
                <c:pt idx="386">
                  <c:v>400.6</c:v>
                </c:pt>
                <c:pt idx="387">
                  <c:v>400.6</c:v>
                </c:pt>
                <c:pt idx="388">
                  <c:v>400.6</c:v>
                </c:pt>
                <c:pt idx="389">
                  <c:v>400.6</c:v>
                </c:pt>
                <c:pt idx="390">
                  <c:v>400.6</c:v>
                </c:pt>
                <c:pt idx="391">
                  <c:v>400.6</c:v>
                </c:pt>
                <c:pt idx="392">
                  <c:v>400.6</c:v>
                </c:pt>
                <c:pt idx="393">
                  <c:v>400.6</c:v>
                </c:pt>
                <c:pt idx="394">
                  <c:v>400.6</c:v>
                </c:pt>
                <c:pt idx="395">
                  <c:v>400.6</c:v>
                </c:pt>
                <c:pt idx="396">
                  <c:v>400.6</c:v>
                </c:pt>
                <c:pt idx="397">
                  <c:v>400.6</c:v>
                </c:pt>
                <c:pt idx="398">
                  <c:v>400.6</c:v>
                </c:pt>
                <c:pt idx="399">
                  <c:v>400.6</c:v>
                </c:pt>
                <c:pt idx="400">
                  <c:v>400.6</c:v>
                </c:pt>
                <c:pt idx="401">
                  <c:v>400.7</c:v>
                </c:pt>
                <c:pt idx="402">
                  <c:v>400.7</c:v>
                </c:pt>
                <c:pt idx="403">
                  <c:v>400.7</c:v>
                </c:pt>
                <c:pt idx="404">
                  <c:v>400.7</c:v>
                </c:pt>
                <c:pt idx="405">
                  <c:v>400.7</c:v>
                </c:pt>
                <c:pt idx="406">
                  <c:v>400.7</c:v>
                </c:pt>
                <c:pt idx="407">
                  <c:v>400.7</c:v>
                </c:pt>
                <c:pt idx="408">
                  <c:v>400.7</c:v>
                </c:pt>
                <c:pt idx="409">
                  <c:v>400.7</c:v>
                </c:pt>
                <c:pt idx="410">
                  <c:v>400.7</c:v>
                </c:pt>
                <c:pt idx="411">
                  <c:v>400.7</c:v>
                </c:pt>
                <c:pt idx="412">
                  <c:v>400.7</c:v>
                </c:pt>
                <c:pt idx="413">
                  <c:v>400.7</c:v>
                </c:pt>
                <c:pt idx="414">
                  <c:v>400.7</c:v>
                </c:pt>
                <c:pt idx="415">
                  <c:v>400.7</c:v>
                </c:pt>
                <c:pt idx="416">
                  <c:v>400.8</c:v>
                </c:pt>
                <c:pt idx="417">
                  <c:v>400.8</c:v>
                </c:pt>
                <c:pt idx="418">
                  <c:v>400.8</c:v>
                </c:pt>
                <c:pt idx="419">
                  <c:v>400.8</c:v>
                </c:pt>
                <c:pt idx="420">
                  <c:v>400.8</c:v>
                </c:pt>
                <c:pt idx="421">
                  <c:v>400.8</c:v>
                </c:pt>
                <c:pt idx="422">
                  <c:v>400.8</c:v>
                </c:pt>
                <c:pt idx="423">
                  <c:v>400.8</c:v>
                </c:pt>
                <c:pt idx="424">
                  <c:v>400.8</c:v>
                </c:pt>
                <c:pt idx="425">
                  <c:v>400.8</c:v>
                </c:pt>
                <c:pt idx="426">
                  <c:v>400.8</c:v>
                </c:pt>
                <c:pt idx="427">
                  <c:v>400.8</c:v>
                </c:pt>
                <c:pt idx="428">
                  <c:v>400.8</c:v>
                </c:pt>
                <c:pt idx="429">
                  <c:v>400.9</c:v>
                </c:pt>
                <c:pt idx="430">
                  <c:v>400.9</c:v>
                </c:pt>
                <c:pt idx="431">
                  <c:v>400.9</c:v>
                </c:pt>
                <c:pt idx="432">
                  <c:v>400.9</c:v>
                </c:pt>
                <c:pt idx="433">
                  <c:v>400.9</c:v>
                </c:pt>
                <c:pt idx="434">
                  <c:v>400.9</c:v>
                </c:pt>
                <c:pt idx="435">
                  <c:v>400.9</c:v>
                </c:pt>
                <c:pt idx="436">
                  <c:v>400.9</c:v>
                </c:pt>
                <c:pt idx="437">
                  <c:v>400.9</c:v>
                </c:pt>
                <c:pt idx="438">
                  <c:v>400.9</c:v>
                </c:pt>
                <c:pt idx="439">
                  <c:v>400.9</c:v>
                </c:pt>
                <c:pt idx="440">
                  <c:v>400.9</c:v>
                </c:pt>
                <c:pt idx="441">
                  <c:v>400.9</c:v>
                </c:pt>
                <c:pt idx="442">
                  <c:v>400.9</c:v>
                </c:pt>
                <c:pt idx="443">
                  <c:v>400.9</c:v>
                </c:pt>
                <c:pt idx="444">
                  <c:v>400.9</c:v>
                </c:pt>
                <c:pt idx="445">
                  <c:v>400.9</c:v>
                </c:pt>
                <c:pt idx="446">
                  <c:v>401</c:v>
                </c:pt>
                <c:pt idx="447">
                  <c:v>401</c:v>
                </c:pt>
                <c:pt idx="448">
                  <c:v>401</c:v>
                </c:pt>
                <c:pt idx="449">
                  <c:v>401</c:v>
                </c:pt>
                <c:pt idx="450">
                  <c:v>401</c:v>
                </c:pt>
                <c:pt idx="451">
                  <c:v>401</c:v>
                </c:pt>
                <c:pt idx="452">
                  <c:v>401</c:v>
                </c:pt>
                <c:pt idx="453">
                  <c:v>401</c:v>
                </c:pt>
                <c:pt idx="454">
                  <c:v>401</c:v>
                </c:pt>
                <c:pt idx="455">
                  <c:v>401</c:v>
                </c:pt>
                <c:pt idx="456">
                  <c:v>401</c:v>
                </c:pt>
                <c:pt idx="457">
                  <c:v>401</c:v>
                </c:pt>
                <c:pt idx="458">
                  <c:v>401</c:v>
                </c:pt>
                <c:pt idx="459">
                  <c:v>401.1</c:v>
                </c:pt>
                <c:pt idx="460">
                  <c:v>401.1</c:v>
                </c:pt>
                <c:pt idx="461">
                  <c:v>401.1</c:v>
                </c:pt>
                <c:pt idx="462">
                  <c:v>401.1</c:v>
                </c:pt>
                <c:pt idx="463">
                  <c:v>401.1</c:v>
                </c:pt>
                <c:pt idx="464">
                  <c:v>401.1</c:v>
                </c:pt>
                <c:pt idx="465">
                  <c:v>401.1</c:v>
                </c:pt>
                <c:pt idx="466">
                  <c:v>401.1</c:v>
                </c:pt>
                <c:pt idx="467">
                  <c:v>401.1</c:v>
                </c:pt>
                <c:pt idx="468">
                  <c:v>401.1</c:v>
                </c:pt>
                <c:pt idx="469">
                  <c:v>401.1</c:v>
                </c:pt>
                <c:pt idx="470">
                  <c:v>401.1</c:v>
                </c:pt>
                <c:pt idx="471">
                  <c:v>401.1</c:v>
                </c:pt>
                <c:pt idx="472">
                  <c:v>401.1</c:v>
                </c:pt>
                <c:pt idx="473">
                  <c:v>401.1</c:v>
                </c:pt>
                <c:pt idx="474">
                  <c:v>401.1</c:v>
                </c:pt>
                <c:pt idx="475">
                  <c:v>401.1</c:v>
                </c:pt>
                <c:pt idx="476">
                  <c:v>401.1</c:v>
                </c:pt>
                <c:pt idx="477">
                  <c:v>401.1</c:v>
                </c:pt>
                <c:pt idx="478">
                  <c:v>401.1</c:v>
                </c:pt>
                <c:pt idx="479">
                  <c:v>401.1</c:v>
                </c:pt>
                <c:pt idx="480">
                  <c:v>401.1</c:v>
                </c:pt>
                <c:pt idx="481">
                  <c:v>401.1</c:v>
                </c:pt>
                <c:pt idx="482">
                  <c:v>401.2</c:v>
                </c:pt>
                <c:pt idx="483">
                  <c:v>401.2</c:v>
                </c:pt>
                <c:pt idx="484">
                  <c:v>401.2</c:v>
                </c:pt>
                <c:pt idx="485">
                  <c:v>401.2</c:v>
                </c:pt>
                <c:pt idx="486">
                  <c:v>401.2</c:v>
                </c:pt>
                <c:pt idx="487">
                  <c:v>401.2</c:v>
                </c:pt>
                <c:pt idx="488">
                  <c:v>401.2</c:v>
                </c:pt>
                <c:pt idx="489">
                  <c:v>401.2</c:v>
                </c:pt>
                <c:pt idx="490">
                  <c:v>401.2</c:v>
                </c:pt>
                <c:pt idx="491">
                  <c:v>401.2</c:v>
                </c:pt>
                <c:pt idx="492">
                  <c:v>401.2</c:v>
                </c:pt>
                <c:pt idx="493">
                  <c:v>401.2</c:v>
                </c:pt>
                <c:pt idx="494">
                  <c:v>401.2</c:v>
                </c:pt>
                <c:pt idx="495">
                  <c:v>401.2</c:v>
                </c:pt>
                <c:pt idx="496">
                  <c:v>401.2</c:v>
                </c:pt>
                <c:pt idx="497">
                  <c:v>401.2</c:v>
                </c:pt>
                <c:pt idx="498">
                  <c:v>401.2</c:v>
                </c:pt>
                <c:pt idx="499">
                  <c:v>401.2</c:v>
                </c:pt>
                <c:pt idx="500">
                  <c:v>401.2</c:v>
                </c:pt>
                <c:pt idx="501">
                  <c:v>401.2</c:v>
                </c:pt>
                <c:pt idx="502">
                  <c:v>401.2</c:v>
                </c:pt>
                <c:pt idx="503">
                  <c:v>401.2</c:v>
                </c:pt>
                <c:pt idx="504">
                  <c:v>401.2</c:v>
                </c:pt>
                <c:pt idx="505">
                  <c:v>401.2</c:v>
                </c:pt>
                <c:pt idx="506">
                  <c:v>401.2</c:v>
                </c:pt>
                <c:pt idx="507">
                  <c:v>401.2</c:v>
                </c:pt>
                <c:pt idx="508">
                  <c:v>401.2</c:v>
                </c:pt>
                <c:pt idx="509">
                  <c:v>401.2</c:v>
                </c:pt>
                <c:pt idx="510">
                  <c:v>401.3</c:v>
                </c:pt>
                <c:pt idx="511">
                  <c:v>401.3</c:v>
                </c:pt>
                <c:pt idx="512">
                  <c:v>401.3</c:v>
                </c:pt>
                <c:pt idx="513">
                  <c:v>401.3</c:v>
                </c:pt>
                <c:pt idx="514">
                  <c:v>401.3</c:v>
                </c:pt>
                <c:pt idx="515">
                  <c:v>401.3</c:v>
                </c:pt>
                <c:pt idx="516">
                  <c:v>401.3</c:v>
                </c:pt>
                <c:pt idx="517">
                  <c:v>401.3</c:v>
                </c:pt>
                <c:pt idx="518">
                  <c:v>401.3</c:v>
                </c:pt>
                <c:pt idx="519">
                  <c:v>401.3</c:v>
                </c:pt>
                <c:pt idx="520">
                  <c:v>401.3</c:v>
                </c:pt>
                <c:pt idx="521">
                  <c:v>401.3</c:v>
                </c:pt>
                <c:pt idx="522">
                  <c:v>401.3</c:v>
                </c:pt>
                <c:pt idx="523">
                  <c:v>401.3</c:v>
                </c:pt>
                <c:pt idx="524">
                  <c:v>401.3</c:v>
                </c:pt>
                <c:pt idx="525">
                  <c:v>401.3</c:v>
                </c:pt>
                <c:pt idx="526">
                  <c:v>401.3</c:v>
                </c:pt>
                <c:pt idx="527">
                  <c:v>401.3</c:v>
                </c:pt>
                <c:pt idx="528">
                  <c:v>401.3</c:v>
                </c:pt>
                <c:pt idx="529">
                  <c:v>401.3</c:v>
                </c:pt>
                <c:pt idx="530">
                  <c:v>401.3</c:v>
                </c:pt>
                <c:pt idx="531">
                  <c:v>401.3</c:v>
                </c:pt>
                <c:pt idx="532">
                  <c:v>401.3</c:v>
                </c:pt>
                <c:pt idx="533">
                  <c:v>401.3</c:v>
                </c:pt>
                <c:pt idx="534">
                  <c:v>401.3</c:v>
                </c:pt>
                <c:pt idx="535">
                  <c:v>401.4</c:v>
                </c:pt>
                <c:pt idx="536">
                  <c:v>401.4</c:v>
                </c:pt>
                <c:pt idx="537">
                  <c:v>401.4</c:v>
                </c:pt>
                <c:pt idx="538">
                  <c:v>401.4</c:v>
                </c:pt>
                <c:pt idx="539">
                  <c:v>401.4</c:v>
                </c:pt>
                <c:pt idx="540">
                  <c:v>401.4</c:v>
                </c:pt>
                <c:pt idx="541">
                  <c:v>401.4</c:v>
                </c:pt>
                <c:pt idx="542">
                  <c:v>401.4</c:v>
                </c:pt>
                <c:pt idx="543">
                  <c:v>401.4</c:v>
                </c:pt>
                <c:pt idx="544">
                  <c:v>401.4</c:v>
                </c:pt>
                <c:pt idx="545">
                  <c:v>401.4</c:v>
                </c:pt>
                <c:pt idx="546">
                  <c:v>401.4</c:v>
                </c:pt>
                <c:pt idx="547">
                  <c:v>401.4</c:v>
                </c:pt>
                <c:pt idx="548">
                  <c:v>401.4</c:v>
                </c:pt>
                <c:pt idx="549">
                  <c:v>401.4</c:v>
                </c:pt>
                <c:pt idx="550">
                  <c:v>401.4</c:v>
                </c:pt>
                <c:pt idx="551">
                  <c:v>401.4</c:v>
                </c:pt>
                <c:pt idx="552">
                  <c:v>401.4</c:v>
                </c:pt>
                <c:pt idx="553">
                  <c:v>401.4</c:v>
                </c:pt>
                <c:pt idx="554">
                  <c:v>401.4</c:v>
                </c:pt>
                <c:pt idx="555">
                  <c:v>401.4</c:v>
                </c:pt>
                <c:pt idx="556">
                  <c:v>401.4</c:v>
                </c:pt>
                <c:pt idx="557">
                  <c:v>401.5</c:v>
                </c:pt>
                <c:pt idx="558">
                  <c:v>401.5</c:v>
                </c:pt>
                <c:pt idx="559">
                  <c:v>401.5</c:v>
                </c:pt>
                <c:pt idx="560">
                  <c:v>401.5</c:v>
                </c:pt>
                <c:pt idx="561">
                  <c:v>401.5</c:v>
                </c:pt>
                <c:pt idx="562">
                  <c:v>401.5</c:v>
                </c:pt>
                <c:pt idx="563">
                  <c:v>401.5</c:v>
                </c:pt>
                <c:pt idx="564">
                  <c:v>401.5</c:v>
                </c:pt>
                <c:pt idx="565">
                  <c:v>401.5</c:v>
                </c:pt>
                <c:pt idx="566">
                  <c:v>401.5</c:v>
                </c:pt>
                <c:pt idx="567">
                  <c:v>401.5</c:v>
                </c:pt>
                <c:pt idx="568">
                  <c:v>401.5</c:v>
                </c:pt>
                <c:pt idx="569">
                  <c:v>401.5</c:v>
                </c:pt>
                <c:pt idx="570">
                  <c:v>401.5</c:v>
                </c:pt>
                <c:pt idx="571">
                  <c:v>401.5</c:v>
                </c:pt>
                <c:pt idx="572">
                  <c:v>401.5</c:v>
                </c:pt>
                <c:pt idx="573">
                  <c:v>401.5</c:v>
                </c:pt>
                <c:pt idx="574">
                  <c:v>401.5</c:v>
                </c:pt>
                <c:pt idx="575">
                  <c:v>401.5</c:v>
                </c:pt>
                <c:pt idx="576">
                  <c:v>401.5</c:v>
                </c:pt>
                <c:pt idx="577">
                  <c:v>401.5</c:v>
                </c:pt>
                <c:pt idx="578">
                  <c:v>401.6</c:v>
                </c:pt>
                <c:pt idx="579">
                  <c:v>401.6</c:v>
                </c:pt>
                <c:pt idx="580">
                  <c:v>401.6</c:v>
                </c:pt>
                <c:pt idx="581">
                  <c:v>401.6</c:v>
                </c:pt>
                <c:pt idx="582">
                  <c:v>401.6</c:v>
                </c:pt>
                <c:pt idx="583">
                  <c:v>401.6</c:v>
                </c:pt>
                <c:pt idx="584">
                  <c:v>401.6</c:v>
                </c:pt>
                <c:pt idx="585">
                  <c:v>401.6</c:v>
                </c:pt>
                <c:pt idx="586">
                  <c:v>401.6</c:v>
                </c:pt>
                <c:pt idx="587">
                  <c:v>401.6</c:v>
                </c:pt>
                <c:pt idx="588">
                  <c:v>401.6</c:v>
                </c:pt>
                <c:pt idx="589">
                  <c:v>401.6</c:v>
                </c:pt>
                <c:pt idx="590">
                  <c:v>401.6</c:v>
                </c:pt>
                <c:pt idx="591">
                  <c:v>401.6</c:v>
                </c:pt>
                <c:pt idx="592">
                  <c:v>401.6</c:v>
                </c:pt>
                <c:pt idx="593">
                  <c:v>401.6</c:v>
                </c:pt>
                <c:pt idx="594">
                  <c:v>401.6</c:v>
                </c:pt>
                <c:pt idx="595">
                  <c:v>401.6</c:v>
                </c:pt>
                <c:pt idx="596">
                  <c:v>401.6</c:v>
                </c:pt>
                <c:pt idx="597">
                  <c:v>401.6</c:v>
                </c:pt>
                <c:pt idx="598">
                  <c:v>401.6</c:v>
                </c:pt>
                <c:pt idx="599">
                  <c:v>401.6</c:v>
                </c:pt>
                <c:pt idx="600">
                  <c:v>401.6</c:v>
                </c:pt>
                <c:pt idx="601">
                  <c:v>401.6</c:v>
                </c:pt>
                <c:pt idx="602">
                  <c:v>401.6</c:v>
                </c:pt>
                <c:pt idx="603">
                  <c:v>401.7</c:v>
                </c:pt>
                <c:pt idx="604">
                  <c:v>401.7</c:v>
                </c:pt>
                <c:pt idx="605">
                  <c:v>401.7</c:v>
                </c:pt>
                <c:pt idx="606">
                  <c:v>401.7</c:v>
                </c:pt>
                <c:pt idx="607">
                  <c:v>401.7</c:v>
                </c:pt>
                <c:pt idx="608">
                  <c:v>401.7</c:v>
                </c:pt>
                <c:pt idx="609">
                  <c:v>401.7</c:v>
                </c:pt>
                <c:pt idx="610">
                  <c:v>401.7</c:v>
                </c:pt>
                <c:pt idx="611">
                  <c:v>401.7</c:v>
                </c:pt>
                <c:pt idx="612">
                  <c:v>401.7</c:v>
                </c:pt>
                <c:pt idx="613">
                  <c:v>401.7</c:v>
                </c:pt>
                <c:pt idx="614">
                  <c:v>401.7</c:v>
                </c:pt>
                <c:pt idx="615">
                  <c:v>401.7</c:v>
                </c:pt>
                <c:pt idx="616">
                  <c:v>401.7</c:v>
                </c:pt>
                <c:pt idx="617">
                  <c:v>401.7</c:v>
                </c:pt>
                <c:pt idx="618">
                  <c:v>401.7</c:v>
                </c:pt>
                <c:pt idx="619">
                  <c:v>401.7</c:v>
                </c:pt>
                <c:pt idx="620">
                  <c:v>401.7</c:v>
                </c:pt>
                <c:pt idx="621">
                  <c:v>401.7</c:v>
                </c:pt>
                <c:pt idx="622">
                  <c:v>401.7</c:v>
                </c:pt>
                <c:pt idx="623">
                  <c:v>401.7</c:v>
                </c:pt>
                <c:pt idx="624">
                  <c:v>401.7</c:v>
                </c:pt>
                <c:pt idx="625">
                  <c:v>401.7</c:v>
                </c:pt>
                <c:pt idx="626">
                  <c:v>401.7</c:v>
                </c:pt>
                <c:pt idx="627">
                  <c:v>401.7</c:v>
                </c:pt>
                <c:pt idx="628">
                  <c:v>401.7</c:v>
                </c:pt>
                <c:pt idx="629">
                  <c:v>401.7</c:v>
                </c:pt>
                <c:pt idx="630">
                  <c:v>401.7</c:v>
                </c:pt>
                <c:pt idx="631">
                  <c:v>401.7</c:v>
                </c:pt>
                <c:pt idx="632">
                  <c:v>401.7</c:v>
                </c:pt>
                <c:pt idx="633">
                  <c:v>401.7</c:v>
                </c:pt>
                <c:pt idx="634">
                  <c:v>401.7</c:v>
                </c:pt>
                <c:pt idx="635">
                  <c:v>401.8</c:v>
                </c:pt>
                <c:pt idx="636">
                  <c:v>401.8</c:v>
                </c:pt>
                <c:pt idx="637">
                  <c:v>401.8</c:v>
                </c:pt>
                <c:pt idx="638">
                  <c:v>401.8</c:v>
                </c:pt>
                <c:pt idx="639">
                  <c:v>401.8</c:v>
                </c:pt>
                <c:pt idx="640">
                  <c:v>401.8</c:v>
                </c:pt>
                <c:pt idx="641">
                  <c:v>401.8</c:v>
                </c:pt>
                <c:pt idx="642">
                  <c:v>401.8</c:v>
                </c:pt>
                <c:pt idx="643">
                  <c:v>401.8</c:v>
                </c:pt>
                <c:pt idx="644">
                  <c:v>401.8</c:v>
                </c:pt>
                <c:pt idx="645">
                  <c:v>401.8</c:v>
                </c:pt>
                <c:pt idx="646">
                  <c:v>401.8</c:v>
                </c:pt>
                <c:pt idx="647">
                  <c:v>401.8</c:v>
                </c:pt>
                <c:pt idx="648">
                  <c:v>401.8</c:v>
                </c:pt>
                <c:pt idx="649">
                  <c:v>401.8</c:v>
                </c:pt>
                <c:pt idx="650">
                  <c:v>401.8</c:v>
                </c:pt>
                <c:pt idx="651">
                  <c:v>401.8</c:v>
                </c:pt>
                <c:pt idx="652">
                  <c:v>401.8</c:v>
                </c:pt>
                <c:pt idx="653">
                  <c:v>401.8</c:v>
                </c:pt>
                <c:pt idx="654">
                  <c:v>401.8</c:v>
                </c:pt>
                <c:pt idx="655">
                  <c:v>401.8</c:v>
                </c:pt>
                <c:pt idx="656">
                  <c:v>401.8</c:v>
                </c:pt>
                <c:pt idx="657">
                  <c:v>401.8</c:v>
                </c:pt>
                <c:pt idx="658">
                  <c:v>401.8</c:v>
                </c:pt>
                <c:pt idx="659">
                  <c:v>401.8</c:v>
                </c:pt>
                <c:pt idx="660">
                  <c:v>401.8</c:v>
                </c:pt>
                <c:pt idx="661">
                  <c:v>401.8</c:v>
                </c:pt>
                <c:pt idx="662">
                  <c:v>401.8</c:v>
                </c:pt>
                <c:pt idx="663">
                  <c:v>401.8</c:v>
                </c:pt>
                <c:pt idx="664">
                  <c:v>401.9</c:v>
                </c:pt>
                <c:pt idx="665">
                  <c:v>401.9</c:v>
                </c:pt>
                <c:pt idx="666">
                  <c:v>401.9</c:v>
                </c:pt>
                <c:pt idx="667">
                  <c:v>401.9</c:v>
                </c:pt>
                <c:pt idx="668">
                  <c:v>401.9</c:v>
                </c:pt>
                <c:pt idx="669">
                  <c:v>401.9</c:v>
                </c:pt>
                <c:pt idx="670">
                  <c:v>401.9</c:v>
                </c:pt>
                <c:pt idx="671">
                  <c:v>401.9</c:v>
                </c:pt>
                <c:pt idx="672">
                  <c:v>401.9</c:v>
                </c:pt>
                <c:pt idx="673">
                  <c:v>401.9</c:v>
                </c:pt>
                <c:pt idx="674">
                  <c:v>401.9</c:v>
                </c:pt>
                <c:pt idx="675">
                  <c:v>401.9</c:v>
                </c:pt>
                <c:pt idx="676">
                  <c:v>401.9</c:v>
                </c:pt>
                <c:pt idx="677">
                  <c:v>401.9</c:v>
                </c:pt>
                <c:pt idx="678">
                  <c:v>401.9</c:v>
                </c:pt>
                <c:pt idx="679">
                  <c:v>401.9</c:v>
                </c:pt>
                <c:pt idx="680">
                  <c:v>401.9</c:v>
                </c:pt>
                <c:pt idx="681">
                  <c:v>401.9</c:v>
                </c:pt>
                <c:pt idx="682">
                  <c:v>401.9</c:v>
                </c:pt>
                <c:pt idx="683">
                  <c:v>401.9</c:v>
                </c:pt>
                <c:pt idx="684">
                  <c:v>401.9</c:v>
                </c:pt>
                <c:pt idx="685">
                  <c:v>401.9</c:v>
                </c:pt>
                <c:pt idx="686">
                  <c:v>401.9</c:v>
                </c:pt>
                <c:pt idx="687">
                  <c:v>401.9</c:v>
                </c:pt>
                <c:pt idx="688">
                  <c:v>401.9</c:v>
                </c:pt>
                <c:pt idx="689">
                  <c:v>402</c:v>
                </c:pt>
                <c:pt idx="690">
                  <c:v>402</c:v>
                </c:pt>
                <c:pt idx="691">
                  <c:v>402</c:v>
                </c:pt>
                <c:pt idx="692">
                  <c:v>402</c:v>
                </c:pt>
                <c:pt idx="693">
                  <c:v>402</c:v>
                </c:pt>
                <c:pt idx="694">
                  <c:v>402</c:v>
                </c:pt>
                <c:pt idx="695">
                  <c:v>402</c:v>
                </c:pt>
                <c:pt idx="696">
                  <c:v>402</c:v>
                </c:pt>
                <c:pt idx="697">
                  <c:v>402</c:v>
                </c:pt>
                <c:pt idx="698">
                  <c:v>402</c:v>
                </c:pt>
                <c:pt idx="699">
                  <c:v>402</c:v>
                </c:pt>
                <c:pt idx="700">
                  <c:v>402</c:v>
                </c:pt>
                <c:pt idx="701">
                  <c:v>402</c:v>
                </c:pt>
                <c:pt idx="702">
                  <c:v>402</c:v>
                </c:pt>
                <c:pt idx="703">
                  <c:v>402</c:v>
                </c:pt>
                <c:pt idx="704">
                  <c:v>402</c:v>
                </c:pt>
                <c:pt idx="705">
                  <c:v>402</c:v>
                </c:pt>
                <c:pt idx="706">
                  <c:v>402</c:v>
                </c:pt>
                <c:pt idx="707">
                  <c:v>402</c:v>
                </c:pt>
                <c:pt idx="708">
                  <c:v>402.1</c:v>
                </c:pt>
                <c:pt idx="709">
                  <c:v>402.1</c:v>
                </c:pt>
                <c:pt idx="710">
                  <c:v>402.1</c:v>
                </c:pt>
                <c:pt idx="711">
                  <c:v>402.1</c:v>
                </c:pt>
                <c:pt idx="712">
                  <c:v>402.1</c:v>
                </c:pt>
                <c:pt idx="713">
                  <c:v>402.1</c:v>
                </c:pt>
                <c:pt idx="714">
                  <c:v>402.1</c:v>
                </c:pt>
                <c:pt idx="715">
                  <c:v>402.1</c:v>
                </c:pt>
                <c:pt idx="716">
                  <c:v>402.1</c:v>
                </c:pt>
                <c:pt idx="717">
                  <c:v>402.1</c:v>
                </c:pt>
                <c:pt idx="718">
                  <c:v>402.1</c:v>
                </c:pt>
                <c:pt idx="719">
                  <c:v>402.1</c:v>
                </c:pt>
                <c:pt idx="720">
                  <c:v>402.1</c:v>
                </c:pt>
                <c:pt idx="721">
                  <c:v>402.1</c:v>
                </c:pt>
                <c:pt idx="722">
                  <c:v>402.1</c:v>
                </c:pt>
                <c:pt idx="723">
                  <c:v>402.1</c:v>
                </c:pt>
                <c:pt idx="724">
                  <c:v>402.2</c:v>
                </c:pt>
                <c:pt idx="725">
                  <c:v>402.2</c:v>
                </c:pt>
                <c:pt idx="726">
                  <c:v>402.2</c:v>
                </c:pt>
                <c:pt idx="727">
                  <c:v>402.2</c:v>
                </c:pt>
                <c:pt idx="728">
                  <c:v>402.2</c:v>
                </c:pt>
                <c:pt idx="729">
                  <c:v>402.2</c:v>
                </c:pt>
                <c:pt idx="730">
                  <c:v>402.2</c:v>
                </c:pt>
                <c:pt idx="731">
                  <c:v>402.2</c:v>
                </c:pt>
                <c:pt idx="732">
                  <c:v>402.2</c:v>
                </c:pt>
                <c:pt idx="733">
                  <c:v>402.2</c:v>
                </c:pt>
                <c:pt idx="734">
                  <c:v>402.2</c:v>
                </c:pt>
                <c:pt idx="735">
                  <c:v>402.2</c:v>
                </c:pt>
                <c:pt idx="736">
                  <c:v>402.2</c:v>
                </c:pt>
                <c:pt idx="737">
                  <c:v>402.2</c:v>
                </c:pt>
                <c:pt idx="738">
                  <c:v>402.2</c:v>
                </c:pt>
                <c:pt idx="739">
                  <c:v>402.2</c:v>
                </c:pt>
                <c:pt idx="740">
                  <c:v>402.2</c:v>
                </c:pt>
                <c:pt idx="741">
                  <c:v>402.3</c:v>
                </c:pt>
                <c:pt idx="742">
                  <c:v>402.3</c:v>
                </c:pt>
                <c:pt idx="743">
                  <c:v>402.3</c:v>
                </c:pt>
                <c:pt idx="744">
                  <c:v>402.3</c:v>
                </c:pt>
                <c:pt idx="745">
                  <c:v>402.3</c:v>
                </c:pt>
                <c:pt idx="746">
                  <c:v>402.3</c:v>
                </c:pt>
                <c:pt idx="747">
                  <c:v>402.3</c:v>
                </c:pt>
                <c:pt idx="748">
                  <c:v>402.3</c:v>
                </c:pt>
                <c:pt idx="749">
                  <c:v>402.3</c:v>
                </c:pt>
                <c:pt idx="750">
                  <c:v>402.3</c:v>
                </c:pt>
                <c:pt idx="751">
                  <c:v>402.3</c:v>
                </c:pt>
                <c:pt idx="752">
                  <c:v>402.3</c:v>
                </c:pt>
                <c:pt idx="753">
                  <c:v>402.3</c:v>
                </c:pt>
                <c:pt idx="754">
                  <c:v>402.3</c:v>
                </c:pt>
                <c:pt idx="755">
                  <c:v>402.3</c:v>
                </c:pt>
                <c:pt idx="756">
                  <c:v>402.3</c:v>
                </c:pt>
                <c:pt idx="757">
                  <c:v>402.3</c:v>
                </c:pt>
                <c:pt idx="758">
                  <c:v>402.4</c:v>
                </c:pt>
                <c:pt idx="759">
                  <c:v>402.4</c:v>
                </c:pt>
                <c:pt idx="760">
                  <c:v>402.4</c:v>
                </c:pt>
                <c:pt idx="761">
                  <c:v>402.4</c:v>
                </c:pt>
                <c:pt idx="762">
                  <c:v>402.4</c:v>
                </c:pt>
                <c:pt idx="763">
                  <c:v>402.4</c:v>
                </c:pt>
                <c:pt idx="764">
                  <c:v>402.4</c:v>
                </c:pt>
                <c:pt idx="765">
                  <c:v>402.4</c:v>
                </c:pt>
                <c:pt idx="766">
                  <c:v>402.4</c:v>
                </c:pt>
                <c:pt idx="767">
                  <c:v>402.4</c:v>
                </c:pt>
                <c:pt idx="768">
                  <c:v>402.4</c:v>
                </c:pt>
                <c:pt idx="769">
                  <c:v>402.4</c:v>
                </c:pt>
                <c:pt idx="770">
                  <c:v>402.4</c:v>
                </c:pt>
                <c:pt idx="771">
                  <c:v>402.4</c:v>
                </c:pt>
                <c:pt idx="772">
                  <c:v>402.4</c:v>
                </c:pt>
                <c:pt idx="773">
                  <c:v>402.4</c:v>
                </c:pt>
                <c:pt idx="774">
                  <c:v>402.4</c:v>
                </c:pt>
                <c:pt idx="775">
                  <c:v>402.4</c:v>
                </c:pt>
                <c:pt idx="776">
                  <c:v>402.4</c:v>
                </c:pt>
                <c:pt idx="777">
                  <c:v>402.4</c:v>
                </c:pt>
                <c:pt idx="778">
                  <c:v>402.4</c:v>
                </c:pt>
                <c:pt idx="779">
                  <c:v>402.5</c:v>
                </c:pt>
                <c:pt idx="780">
                  <c:v>402.5</c:v>
                </c:pt>
                <c:pt idx="781">
                  <c:v>402.5</c:v>
                </c:pt>
                <c:pt idx="782">
                  <c:v>402.5</c:v>
                </c:pt>
                <c:pt idx="783">
                  <c:v>402.5</c:v>
                </c:pt>
                <c:pt idx="784">
                  <c:v>402.5</c:v>
                </c:pt>
                <c:pt idx="785">
                  <c:v>402.5</c:v>
                </c:pt>
                <c:pt idx="786">
                  <c:v>402.5</c:v>
                </c:pt>
                <c:pt idx="787">
                  <c:v>402.5</c:v>
                </c:pt>
                <c:pt idx="788">
                  <c:v>402.5</c:v>
                </c:pt>
                <c:pt idx="789">
                  <c:v>402.5</c:v>
                </c:pt>
                <c:pt idx="790">
                  <c:v>402.5</c:v>
                </c:pt>
                <c:pt idx="791">
                  <c:v>402.5</c:v>
                </c:pt>
                <c:pt idx="792">
                  <c:v>402.5</c:v>
                </c:pt>
                <c:pt idx="793">
                  <c:v>402.5</c:v>
                </c:pt>
                <c:pt idx="794">
                  <c:v>402.5</c:v>
                </c:pt>
                <c:pt idx="795">
                  <c:v>402.6</c:v>
                </c:pt>
                <c:pt idx="796">
                  <c:v>402.6</c:v>
                </c:pt>
                <c:pt idx="797">
                  <c:v>402.6</c:v>
                </c:pt>
                <c:pt idx="798">
                  <c:v>402.6</c:v>
                </c:pt>
                <c:pt idx="799">
                  <c:v>402.6</c:v>
                </c:pt>
                <c:pt idx="800">
                  <c:v>402.6</c:v>
                </c:pt>
                <c:pt idx="801">
                  <c:v>402.6</c:v>
                </c:pt>
                <c:pt idx="802">
                  <c:v>402.6</c:v>
                </c:pt>
                <c:pt idx="803">
                  <c:v>402.6</c:v>
                </c:pt>
                <c:pt idx="804">
                  <c:v>402.6</c:v>
                </c:pt>
                <c:pt idx="805">
                  <c:v>402.6</c:v>
                </c:pt>
                <c:pt idx="806">
                  <c:v>402.6</c:v>
                </c:pt>
                <c:pt idx="807">
                  <c:v>402.6</c:v>
                </c:pt>
                <c:pt idx="808">
                  <c:v>402.6</c:v>
                </c:pt>
                <c:pt idx="809">
                  <c:v>402.7</c:v>
                </c:pt>
                <c:pt idx="810">
                  <c:v>402.7</c:v>
                </c:pt>
                <c:pt idx="811">
                  <c:v>402.7</c:v>
                </c:pt>
                <c:pt idx="812">
                  <c:v>402.7</c:v>
                </c:pt>
                <c:pt idx="813">
                  <c:v>402.7</c:v>
                </c:pt>
                <c:pt idx="814">
                  <c:v>402.7</c:v>
                </c:pt>
                <c:pt idx="815">
                  <c:v>402.7</c:v>
                </c:pt>
                <c:pt idx="816">
                  <c:v>402.7</c:v>
                </c:pt>
                <c:pt idx="817">
                  <c:v>402.7</c:v>
                </c:pt>
                <c:pt idx="818">
                  <c:v>402.7</c:v>
                </c:pt>
                <c:pt idx="819">
                  <c:v>402.7</c:v>
                </c:pt>
                <c:pt idx="820">
                  <c:v>402.7</c:v>
                </c:pt>
                <c:pt idx="821">
                  <c:v>402.7</c:v>
                </c:pt>
                <c:pt idx="822">
                  <c:v>402.7</c:v>
                </c:pt>
                <c:pt idx="823">
                  <c:v>402.7</c:v>
                </c:pt>
                <c:pt idx="824">
                  <c:v>402.7</c:v>
                </c:pt>
                <c:pt idx="825">
                  <c:v>402.8</c:v>
                </c:pt>
                <c:pt idx="826">
                  <c:v>402.8</c:v>
                </c:pt>
                <c:pt idx="827">
                  <c:v>402.8</c:v>
                </c:pt>
                <c:pt idx="828">
                  <c:v>402.8</c:v>
                </c:pt>
                <c:pt idx="829">
                  <c:v>402.8</c:v>
                </c:pt>
                <c:pt idx="830">
                  <c:v>402.8</c:v>
                </c:pt>
                <c:pt idx="831">
                  <c:v>402.8</c:v>
                </c:pt>
                <c:pt idx="832">
                  <c:v>402.8</c:v>
                </c:pt>
                <c:pt idx="833">
                  <c:v>402.8</c:v>
                </c:pt>
                <c:pt idx="834">
                  <c:v>402.8</c:v>
                </c:pt>
                <c:pt idx="835">
                  <c:v>402.8</c:v>
                </c:pt>
                <c:pt idx="836">
                  <c:v>402.8</c:v>
                </c:pt>
                <c:pt idx="837">
                  <c:v>402.8</c:v>
                </c:pt>
                <c:pt idx="838">
                  <c:v>402.8</c:v>
                </c:pt>
                <c:pt idx="839">
                  <c:v>402.9</c:v>
                </c:pt>
                <c:pt idx="840">
                  <c:v>402.9</c:v>
                </c:pt>
                <c:pt idx="841">
                  <c:v>402.9</c:v>
                </c:pt>
                <c:pt idx="842">
                  <c:v>402.9</c:v>
                </c:pt>
                <c:pt idx="843">
                  <c:v>402.9</c:v>
                </c:pt>
                <c:pt idx="844">
                  <c:v>402.9</c:v>
                </c:pt>
                <c:pt idx="845">
                  <c:v>402.9</c:v>
                </c:pt>
                <c:pt idx="846">
                  <c:v>402.9</c:v>
                </c:pt>
                <c:pt idx="847">
                  <c:v>402.9</c:v>
                </c:pt>
                <c:pt idx="848">
                  <c:v>403</c:v>
                </c:pt>
                <c:pt idx="849">
                  <c:v>403</c:v>
                </c:pt>
                <c:pt idx="850">
                  <c:v>403</c:v>
                </c:pt>
                <c:pt idx="851">
                  <c:v>403</c:v>
                </c:pt>
                <c:pt idx="852">
                  <c:v>403</c:v>
                </c:pt>
                <c:pt idx="853">
                  <c:v>403</c:v>
                </c:pt>
                <c:pt idx="854">
                  <c:v>403</c:v>
                </c:pt>
                <c:pt idx="855">
                  <c:v>403</c:v>
                </c:pt>
                <c:pt idx="856">
                  <c:v>403</c:v>
                </c:pt>
                <c:pt idx="857">
                  <c:v>403</c:v>
                </c:pt>
                <c:pt idx="858">
                  <c:v>403</c:v>
                </c:pt>
                <c:pt idx="859">
                  <c:v>403.1</c:v>
                </c:pt>
                <c:pt idx="860">
                  <c:v>403.1</c:v>
                </c:pt>
                <c:pt idx="861">
                  <c:v>403.1</c:v>
                </c:pt>
                <c:pt idx="862">
                  <c:v>403.1</c:v>
                </c:pt>
                <c:pt idx="863">
                  <c:v>403.1</c:v>
                </c:pt>
                <c:pt idx="864">
                  <c:v>403.1</c:v>
                </c:pt>
                <c:pt idx="865">
                  <c:v>403.1</c:v>
                </c:pt>
                <c:pt idx="866">
                  <c:v>403.1</c:v>
                </c:pt>
                <c:pt idx="867">
                  <c:v>403.1</c:v>
                </c:pt>
                <c:pt idx="868">
                  <c:v>403.2</c:v>
                </c:pt>
                <c:pt idx="869">
                  <c:v>403.2</c:v>
                </c:pt>
                <c:pt idx="870">
                  <c:v>403.2</c:v>
                </c:pt>
                <c:pt idx="871">
                  <c:v>403.2</c:v>
                </c:pt>
                <c:pt idx="872">
                  <c:v>403.2</c:v>
                </c:pt>
                <c:pt idx="873">
                  <c:v>403.2</c:v>
                </c:pt>
                <c:pt idx="874">
                  <c:v>403.2</c:v>
                </c:pt>
                <c:pt idx="875">
                  <c:v>403.2</c:v>
                </c:pt>
                <c:pt idx="876">
                  <c:v>403.2</c:v>
                </c:pt>
                <c:pt idx="877">
                  <c:v>403.2</c:v>
                </c:pt>
                <c:pt idx="878">
                  <c:v>403.3</c:v>
                </c:pt>
                <c:pt idx="879">
                  <c:v>403.3</c:v>
                </c:pt>
                <c:pt idx="880">
                  <c:v>403.3</c:v>
                </c:pt>
                <c:pt idx="881">
                  <c:v>403.3</c:v>
                </c:pt>
                <c:pt idx="882">
                  <c:v>403.3</c:v>
                </c:pt>
                <c:pt idx="883">
                  <c:v>403.3</c:v>
                </c:pt>
                <c:pt idx="884">
                  <c:v>403.3</c:v>
                </c:pt>
                <c:pt idx="885">
                  <c:v>403.3</c:v>
                </c:pt>
                <c:pt idx="886">
                  <c:v>403.3</c:v>
                </c:pt>
                <c:pt idx="887">
                  <c:v>403.3</c:v>
                </c:pt>
                <c:pt idx="888">
                  <c:v>403.3</c:v>
                </c:pt>
                <c:pt idx="889">
                  <c:v>403.3</c:v>
                </c:pt>
                <c:pt idx="890">
                  <c:v>403.4</c:v>
                </c:pt>
                <c:pt idx="891">
                  <c:v>403.4</c:v>
                </c:pt>
                <c:pt idx="892">
                  <c:v>403.4</c:v>
                </c:pt>
                <c:pt idx="893">
                  <c:v>403.4</c:v>
                </c:pt>
                <c:pt idx="894">
                  <c:v>403.4</c:v>
                </c:pt>
                <c:pt idx="895">
                  <c:v>403.4</c:v>
                </c:pt>
                <c:pt idx="896">
                  <c:v>403.4</c:v>
                </c:pt>
                <c:pt idx="897">
                  <c:v>403.4</c:v>
                </c:pt>
                <c:pt idx="898">
                  <c:v>403.5</c:v>
                </c:pt>
                <c:pt idx="899">
                  <c:v>403.5</c:v>
                </c:pt>
                <c:pt idx="900">
                  <c:v>403.5</c:v>
                </c:pt>
                <c:pt idx="901">
                  <c:v>403.5</c:v>
                </c:pt>
                <c:pt idx="902">
                  <c:v>403.6</c:v>
                </c:pt>
                <c:pt idx="903">
                  <c:v>403.6</c:v>
                </c:pt>
                <c:pt idx="904">
                  <c:v>403.6</c:v>
                </c:pt>
                <c:pt idx="905">
                  <c:v>403.6</c:v>
                </c:pt>
                <c:pt idx="906">
                  <c:v>403.6</c:v>
                </c:pt>
                <c:pt idx="907">
                  <c:v>403.6</c:v>
                </c:pt>
                <c:pt idx="908">
                  <c:v>403.6</c:v>
                </c:pt>
                <c:pt idx="909">
                  <c:v>403.6</c:v>
                </c:pt>
                <c:pt idx="910">
                  <c:v>403.6</c:v>
                </c:pt>
                <c:pt idx="911">
                  <c:v>403.6</c:v>
                </c:pt>
                <c:pt idx="912">
                  <c:v>403.6</c:v>
                </c:pt>
                <c:pt idx="913">
                  <c:v>403.6</c:v>
                </c:pt>
                <c:pt idx="914">
                  <c:v>403.7</c:v>
                </c:pt>
                <c:pt idx="915">
                  <c:v>403.7</c:v>
                </c:pt>
                <c:pt idx="916">
                  <c:v>403.7</c:v>
                </c:pt>
                <c:pt idx="917">
                  <c:v>403.7</c:v>
                </c:pt>
                <c:pt idx="918">
                  <c:v>403.7</c:v>
                </c:pt>
                <c:pt idx="919">
                  <c:v>403.7</c:v>
                </c:pt>
                <c:pt idx="920">
                  <c:v>403.7</c:v>
                </c:pt>
                <c:pt idx="921">
                  <c:v>403.8</c:v>
                </c:pt>
                <c:pt idx="922">
                  <c:v>403.8</c:v>
                </c:pt>
                <c:pt idx="923">
                  <c:v>403.8</c:v>
                </c:pt>
                <c:pt idx="924">
                  <c:v>403.8</c:v>
                </c:pt>
                <c:pt idx="925">
                  <c:v>403.8</c:v>
                </c:pt>
                <c:pt idx="926">
                  <c:v>403.9</c:v>
                </c:pt>
                <c:pt idx="927">
                  <c:v>403.9</c:v>
                </c:pt>
                <c:pt idx="928">
                  <c:v>403.9</c:v>
                </c:pt>
                <c:pt idx="929">
                  <c:v>404</c:v>
                </c:pt>
                <c:pt idx="930">
                  <c:v>404</c:v>
                </c:pt>
                <c:pt idx="931">
                  <c:v>404</c:v>
                </c:pt>
                <c:pt idx="932">
                  <c:v>404</c:v>
                </c:pt>
                <c:pt idx="933">
                  <c:v>404</c:v>
                </c:pt>
                <c:pt idx="934">
                  <c:v>404</c:v>
                </c:pt>
                <c:pt idx="935">
                  <c:v>404</c:v>
                </c:pt>
                <c:pt idx="936">
                  <c:v>404</c:v>
                </c:pt>
                <c:pt idx="937">
                  <c:v>404</c:v>
                </c:pt>
                <c:pt idx="938">
                  <c:v>404.1</c:v>
                </c:pt>
                <c:pt idx="939">
                  <c:v>404.1</c:v>
                </c:pt>
                <c:pt idx="940">
                  <c:v>404.1</c:v>
                </c:pt>
                <c:pt idx="941">
                  <c:v>404.1</c:v>
                </c:pt>
                <c:pt idx="942">
                  <c:v>404.1</c:v>
                </c:pt>
                <c:pt idx="943">
                  <c:v>404.1</c:v>
                </c:pt>
                <c:pt idx="944">
                  <c:v>404.1</c:v>
                </c:pt>
                <c:pt idx="945">
                  <c:v>404.2</c:v>
                </c:pt>
                <c:pt idx="946">
                  <c:v>404.2</c:v>
                </c:pt>
                <c:pt idx="947">
                  <c:v>404.2</c:v>
                </c:pt>
                <c:pt idx="948">
                  <c:v>404.3</c:v>
                </c:pt>
                <c:pt idx="949">
                  <c:v>404.3</c:v>
                </c:pt>
                <c:pt idx="950">
                  <c:v>404.3</c:v>
                </c:pt>
                <c:pt idx="951">
                  <c:v>404.3</c:v>
                </c:pt>
                <c:pt idx="952">
                  <c:v>404.3</c:v>
                </c:pt>
                <c:pt idx="953">
                  <c:v>404.4</c:v>
                </c:pt>
                <c:pt idx="954">
                  <c:v>404.4</c:v>
                </c:pt>
                <c:pt idx="955">
                  <c:v>404.4</c:v>
                </c:pt>
                <c:pt idx="956">
                  <c:v>404.5</c:v>
                </c:pt>
                <c:pt idx="957">
                  <c:v>404.6</c:v>
                </c:pt>
                <c:pt idx="958">
                  <c:v>404.6</c:v>
                </c:pt>
                <c:pt idx="959">
                  <c:v>404.6</c:v>
                </c:pt>
                <c:pt idx="960">
                  <c:v>404.6</c:v>
                </c:pt>
                <c:pt idx="961">
                  <c:v>404.7</c:v>
                </c:pt>
                <c:pt idx="962">
                  <c:v>404.8</c:v>
                </c:pt>
                <c:pt idx="963">
                  <c:v>404.9</c:v>
                </c:pt>
                <c:pt idx="964">
                  <c:v>404.9</c:v>
                </c:pt>
                <c:pt idx="965">
                  <c:v>404.9</c:v>
                </c:pt>
                <c:pt idx="966">
                  <c:v>404.9</c:v>
                </c:pt>
                <c:pt idx="967">
                  <c:v>404.9</c:v>
                </c:pt>
                <c:pt idx="968">
                  <c:v>405</c:v>
                </c:pt>
                <c:pt idx="969">
                  <c:v>405</c:v>
                </c:pt>
                <c:pt idx="970">
                  <c:v>405</c:v>
                </c:pt>
                <c:pt idx="971">
                  <c:v>405.1</c:v>
                </c:pt>
                <c:pt idx="972">
                  <c:v>405.1</c:v>
                </c:pt>
                <c:pt idx="973">
                  <c:v>405.1</c:v>
                </c:pt>
                <c:pt idx="974">
                  <c:v>405.1</c:v>
                </c:pt>
                <c:pt idx="975">
                  <c:v>405.2</c:v>
                </c:pt>
                <c:pt idx="976">
                  <c:v>405.2</c:v>
                </c:pt>
                <c:pt idx="977">
                  <c:v>405.2</c:v>
                </c:pt>
                <c:pt idx="978">
                  <c:v>405.2</c:v>
                </c:pt>
                <c:pt idx="979">
                  <c:v>405.3</c:v>
                </c:pt>
                <c:pt idx="980">
                  <c:v>405.4</c:v>
                </c:pt>
                <c:pt idx="981">
                  <c:v>405.5</c:v>
                </c:pt>
                <c:pt idx="982">
                  <c:v>405.5</c:v>
                </c:pt>
                <c:pt idx="983">
                  <c:v>405.5</c:v>
                </c:pt>
                <c:pt idx="984">
                  <c:v>405.6</c:v>
                </c:pt>
                <c:pt idx="985">
                  <c:v>405.6</c:v>
                </c:pt>
                <c:pt idx="986">
                  <c:v>405.6</c:v>
                </c:pt>
                <c:pt idx="987">
                  <c:v>405.6</c:v>
                </c:pt>
                <c:pt idx="988">
                  <c:v>405.7</c:v>
                </c:pt>
                <c:pt idx="989">
                  <c:v>405.7</c:v>
                </c:pt>
                <c:pt idx="990">
                  <c:v>405.7</c:v>
                </c:pt>
                <c:pt idx="991">
                  <c:v>405.7</c:v>
                </c:pt>
                <c:pt idx="992">
                  <c:v>405.8</c:v>
                </c:pt>
                <c:pt idx="993">
                  <c:v>405.9</c:v>
                </c:pt>
                <c:pt idx="994">
                  <c:v>405.9</c:v>
                </c:pt>
                <c:pt idx="995">
                  <c:v>405.9</c:v>
                </c:pt>
                <c:pt idx="996">
                  <c:v>406</c:v>
                </c:pt>
                <c:pt idx="997">
                  <c:v>406.1</c:v>
                </c:pt>
                <c:pt idx="998">
                  <c:v>406.1</c:v>
                </c:pt>
                <c:pt idx="999">
                  <c:v>407.8</c:v>
                </c:pt>
              </c:numCache>
            </c:numRef>
          </c:xVal>
          <c:yVal>
            <c:numRef>
              <c:f>Arkusz1!$M$2:$M$1001</c:f>
              <c:numCache>
                <c:formatCode>General</c:formatCode>
                <c:ptCount val="1000"/>
                <c:pt idx="0">
                  <c:v>1.2642107045436767E-4</c:v>
                </c:pt>
                <c:pt idx="1">
                  <c:v>2.8271493849134236E-4</c:v>
                </c:pt>
                <c:pt idx="2">
                  <c:v>3.2193534528884409E-4</c:v>
                </c:pt>
                <c:pt idx="3">
                  <c:v>6.054184377299889E-4</c:v>
                </c:pt>
                <c:pt idx="4">
                  <c:v>6.8447368075532083E-4</c:v>
                </c:pt>
                <c:pt idx="5">
                  <c:v>9.8211857259650421E-4</c:v>
                </c:pt>
                <c:pt idx="6">
                  <c:v>1.1051062825093464E-3</c:v>
                </c:pt>
                <c:pt idx="7">
                  <c:v>1.242027727687059E-3</c:v>
                </c:pt>
                <c:pt idx="8">
                  <c:v>1.242027727687059E-3</c:v>
                </c:pt>
                <c:pt idx="9">
                  <c:v>1.242027727687059E-3</c:v>
                </c:pt>
                <c:pt idx="10">
                  <c:v>1.5633312841179601E-3</c:v>
                </c:pt>
                <c:pt idx="11">
                  <c:v>1.5633312841179601E-3</c:v>
                </c:pt>
                <c:pt idx="12">
                  <c:v>1.7508360141732836E-3</c:v>
                </c:pt>
                <c:pt idx="13">
                  <c:v>1.9585333973354121E-3</c:v>
                </c:pt>
                <c:pt idx="14">
                  <c:v>2.188308580340166E-3</c:v>
                </c:pt>
                <c:pt idx="15">
                  <c:v>2.188308580340166E-3</c:v>
                </c:pt>
                <c:pt idx="16">
                  <c:v>2.4421888381374831E-3</c:v>
                </c:pt>
                <c:pt idx="17">
                  <c:v>2.4421888381374831E-3</c:v>
                </c:pt>
                <c:pt idx="18">
                  <c:v>2.7223506060985079E-3</c:v>
                </c:pt>
                <c:pt idx="19">
                  <c:v>3.3710120934773852E-3</c:v>
                </c:pt>
                <c:pt idx="20">
                  <c:v>3.3710120934773852E-3</c:v>
                </c:pt>
                <c:pt idx="21">
                  <c:v>3.7446729451068193E-3</c:v>
                </c:pt>
                <c:pt idx="22">
                  <c:v>3.7446729451068193E-3</c:v>
                </c:pt>
                <c:pt idx="23">
                  <c:v>4.1549509097090894E-3</c:v>
                </c:pt>
                <c:pt idx="24">
                  <c:v>5.0976452559599646E-3</c:v>
                </c:pt>
                <c:pt idx="25">
                  <c:v>5.0976452559599646E-3</c:v>
                </c:pt>
                <c:pt idx="26">
                  <c:v>5.0976452559599646E-3</c:v>
                </c:pt>
                <c:pt idx="27">
                  <c:v>6.8681770512539356E-3</c:v>
                </c:pt>
                <c:pt idx="28">
                  <c:v>7.5684644249491787E-3</c:v>
                </c:pt>
                <c:pt idx="29">
                  <c:v>7.5684644249491787E-3</c:v>
                </c:pt>
                <c:pt idx="30">
                  <c:v>8.3306819165682583E-3</c:v>
                </c:pt>
                <c:pt idx="31">
                  <c:v>8.3306819165682583E-3</c:v>
                </c:pt>
                <c:pt idx="32">
                  <c:v>9.1592736589341181E-3</c:v>
                </c:pt>
                <c:pt idx="33">
                  <c:v>1.0058899197440161E-2</c:v>
                </c:pt>
                <c:pt idx="34">
                  <c:v>1.1034434172913105E-2</c:v>
                </c:pt>
                <c:pt idx="35">
                  <c:v>1.1034434172913105E-2</c:v>
                </c:pt>
                <c:pt idx="36">
                  <c:v>1.1034434172913105E-2</c:v>
                </c:pt>
                <c:pt idx="37">
                  <c:v>1.2090969971016805E-2</c:v>
                </c:pt>
                <c:pt idx="38">
                  <c:v>1.2090969971016805E-2</c:v>
                </c:pt>
                <c:pt idx="39">
                  <c:v>1.3233812254660292E-2</c:v>
                </c:pt>
                <c:pt idx="40">
                  <c:v>1.3233812254660292E-2</c:v>
                </c:pt>
                <c:pt idx="41">
                  <c:v>1.3233812254660292E-2</c:v>
                </c:pt>
                <c:pt idx="42">
                  <c:v>1.3233812254660292E-2</c:v>
                </c:pt>
                <c:pt idx="43">
                  <c:v>1.4468478297526939E-2</c:v>
                </c:pt>
                <c:pt idx="44">
                  <c:v>1.4468478297526939E-2</c:v>
                </c:pt>
                <c:pt idx="45">
                  <c:v>1.4468478297526939E-2</c:v>
                </c:pt>
                <c:pt idx="46">
                  <c:v>1.5800693039273152E-2</c:v>
                </c:pt>
                <c:pt idx="47">
                  <c:v>1.5800693039273152E-2</c:v>
                </c:pt>
                <c:pt idx="48">
                  <c:v>1.5800693039273152E-2</c:v>
                </c:pt>
                <c:pt idx="49">
                  <c:v>1.723638378625748E-2</c:v>
                </c:pt>
                <c:pt idx="50">
                  <c:v>1.723638378625748E-2</c:v>
                </c:pt>
                <c:pt idx="51">
                  <c:v>1.723638378625748E-2</c:v>
                </c:pt>
                <c:pt idx="52">
                  <c:v>1.723638378625748E-2</c:v>
                </c:pt>
                <c:pt idx="53">
                  <c:v>1.723638378625748E-2</c:v>
                </c:pt>
                <c:pt idx="54">
                  <c:v>1.723638378625748E-2</c:v>
                </c:pt>
                <c:pt idx="55">
                  <c:v>1.8781673486096179E-2</c:v>
                </c:pt>
                <c:pt idx="56">
                  <c:v>1.8781673486096179E-2</c:v>
                </c:pt>
                <c:pt idx="57">
                  <c:v>1.8781673486096179E-2</c:v>
                </c:pt>
                <c:pt idx="58">
                  <c:v>1.8781673486096179E-2</c:v>
                </c:pt>
                <c:pt idx="59">
                  <c:v>1.8781673486096179E-2</c:v>
                </c:pt>
                <c:pt idx="60">
                  <c:v>2.0442872509313686E-2</c:v>
                </c:pt>
                <c:pt idx="61">
                  <c:v>2.2226468877940279E-2</c:v>
                </c:pt>
                <c:pt idx="62">
                  <c:v>2.2226468877940279E-2</c:v>
                </c:pt>
                <c:pt idx="63">
                  <c:v>2.2226468877940279E-2</c:v>
                </c:pt>
                <c:pt idx="64">
                  <c:v>2.2226468877940279E-2</c:v>
                </c:pt>
                <c:pt idx="65">
                  <c:v>2.4139116887714886E-2</c:v>
                </c:pt>
                <c:pt idx="66">
                  <c:v>2.4139116887714886E-2</c:v>
                </c:pt>
                <c:pt idx="67">
                  <c:v>2.4139116887714886E-2</c:v>
                </c:pt>
                <c:pt idx="68">
                  <c:v>2.4139116887714886E-2</c:v>
                </c:pt>
                <c:pt idx="69">
                  <c:v>2.4139116887714886E-2</c:v>
                </c:pt>
                <c:pt idx="70">
                  <c:v>2.6187624079156514E-2</c:v>
                </c:pt>
                <c:pt idx="71">
                  <c:v>2.6187624079156514E-2</c:v>
                </c:pt>
                <c:pt idx="72">
                  <c:v>2.6187624079156514E-2</c:v>
                </c:pt>
                <c:pt idx="73">
                  <c:v>2.6187624079156514E-2</c:v>
                </c:pt>
                <c:pt idx="74">
                  <c:v>2.6187624079156514E-2</c:v>
                </c:pt>
                <c:pt idx="75">
                  <c:v>2.6187624079156514E-2</c:v>
                </c:pt>
                <c:pt idx="76">
                  <c:v>2.6187624079156514E-2</c:v>
                </c:pt>
                <c:pt idx="77">
                  <c:v>2.8378936521640464E-2</c:v>
                </c:pt>
                <c:pt idx="78">
                  <c:v>2.8378936521640464E-2</c:v>
                </c:pt>
                <c:pt idx="79">
                  <c:v>2.8378936521640464E-2</c:v>
                </c:pt>
                <c:pt idx="80">
                  <c:v>2.8378936521640464E-2</c:v>
                </c:pt>
                <c:pt idx="81">
                  <c:v>3.0720122384851938E-2</c:v>
                </c:pt>
                <c:pt idx="82">
                  <c:v>3.0720122384851938E-2</c:v>
                </c:pt>
                <c:pt idx="83">
                  <c:v>3.0720122384851938E-2</c:v>
                </c:pt>
                <c:pt idx="84">
                  <c:v>3.0720122384851938E-2</c:v>
                </c:pt>
                <c:pt idx="85">
                  <c:v>3.0720122384851938E-2</c:v>
                </c:pt>
                <c:pt idx="86">
                  <c:v>3.321835378323558E-2</c:v>
                </c:pt>
                <c:pt idx="87">
                  <c:v>3.321835378323558E-2</c:v>
                </c:pt>
                <c:pt idx="88">
                  <c:v>3.321835378323558E-2</c:v>
                </c:pt>
                <c:pt idx="89">
                  <c:v>3.321835378323558E-2</c:v>
                </c:pt>
                <c:pt idx="90">
                  <c:v>4.1728171898320156E-2</c:v>
                </c:pt>
                <c:pt idx="91">
                  <c:v>4.4927653556320807E-2</c:v>
                </c:pt>
                <c:pt idx="92">
                  <c:v>4.8320844914228625E-2</c:v>
                </c:pt>
                <c:pt idx="93">
                  <c:v>4.8320844914228625E-2</c:v>
                </c:pt>
                <c:pt idx="94">
                  <c:v>4.8320844914228625E-2</c:v>
                </c:pt>
                <c:pt idx="95">
                  <c:v>5.1915065103293127E-2</c:v>
                </c:pt>
                <c:pt idx="96">
                  <c:v>5.5717563222301376E-2</c:v>
                </c:pt>
                <c:pt idx="97">
                  <c:v>5.5717563222301376E-2</c:v>
                </c:pt>
                <c:pt idx="98">
                  <c:v>5.5717563222301376E-2</c:v>
                </c:pt>
                <c:pt idx="99">
                  <c:v>5.9735487422625376E-2</c:v>
                </c:pt>
                <c:pt idx="100">
                  <c:v>6.3975852750763618E-2</c:v>
                </c:pt>
                <c:pt idx="101">
                  <c:v>7.315110086623576E-2</c:v>
                </c:pt>
                <c:pt idx="102">
                  <c:v>7.8099044117566574E-2</c:v>
                </c:pt>
                <c:pt idx="103">
                  <c:v>7.8099044117566574E-2</c:v>
                </c:pt>
                <c:pt idx="104">
                  <c:v>7.8099044117566574E-2</c:v>
                </c:pt>
                <c:pt idx="105">
                  <c:v>8.3295478702458361E-2</c:v>
                </c:pt>
                <c:pt idx="106">
                  <c:v>8.874623823363835E-2</c:v>
                </c:pt>
                <c:pt idx="107">
                  <c:v>8.874623823363835E-2</c:v>
                </c:pt>
                <c:pt idx="108">
                  <c:v>8.874623823363835E-2</c:v>
                </c:pt>
                <c:pt idx="109">
                  <c:v>9.4456812497884332E-2</c:v>
                </c:pt>
                <c:pt idx="110">
                  <c:v>9.4456812497884332E-2</c:v>
                </c:pt>
                <c:pt idx="111">
                  <c:v>9.4456812497884332E-2</c:v>
                </c:pt>
                <c:pt idx="112">
                  <c:v>0.1004323110534474</c:v>
                </c:pt>
                <c:pt idx="113">
                  <c:v>0.10667742701505639</c:v>
                </c:pt>
                <c:pt idx="114">
                  <c:v>0.10667742701505639</c:v>
                </c:pt>
                <c:pt idx="115">
                  <c:v>0.10667742701505639</c:v>
                </c:pt>
                <c:pt idx="116">
                  <c:v>0.10667742701505639</c:v>
                </c:pt>
                <c:pt idx="117">
                  <c:v>0.10667742701505639</c:v>
                </c:pt>
                <c:pt idx="118">
                  <c:v>0.11319640125695676</c:v>
                </c:pt>
                <c:pt idx="119">
                  <c:v>0.11319640125695676</c:v>
                </c:pt>
                <c:pt idx="120">
                  <c:v>0.11319640125695676</c:v>
                </c:pt>
                <c:pt idx="121">
                  <c:v>0.11319640125695676</c:v>
                </c:pt>
                <c:pt idx="122">
                  <c:v>0.11319640125695676</c:v>
                </c:pt>
                <c:pt idx="123">
                  <c:v>0.11999298727081605</c:v>
                </c:pt>
                <c:pt idx="124">
                  <c:v>0.11999298727081605</c:v>
                </c:pt>
                <c:pt idx="125">
                  <c:v>0.11999298727081605</c:v>
                </c:pt>
                <c:pt idx="126">
                  <c:v>0.11999298727081605</c:v>
                </c:pt>
                <c:pt idx="127">
                  <c:v>0.11999298727081605</c:v>
                </c:pt>
                <c:pt idx="128">
                  <c:v>0.12707041692189827</c:v>
                </c:pt>
                <c:pt idx="129">
                  <c:v>0.12707041692189827</c:v>
                </c:pt>
                <c:pt idx="130">
                  <c:v>0.12707041692189827</c:v>
                </c:pt>
                <c:pt idx="131">
                  <c:v>0.12707041692189827</c:v>
                </c:pt>
                <c:pt idx="132">
                  <c:v>0.13443136734891109</c:v>
                </c:pt>
                <c:pt idx="133">
                  <c:v>0.14207792925562629</c:v>
                </c:pt>
                <c:pt idx="134">
                  <c:v>0.14207792925562629</c:v>
                </c:pt>
                <c:pt idx="135">
                  <c:v>0.15001157684097191</c:v>
                </c:pt>
                <c:pt idx="136">
                  <c:v>0.15001157684097191</c:v>
                </c:pt>
                <c:pt idx="137">
                  <c:v>0.15001157684097191</c:v>
                </c:pt>
                <c:pt idx="138">
                  <c:v>0.15823313961262581</c:v>
                </c:pt>
                <c:pt idx="139">
                  <c:v>0.15823313961262581</c:v>
                </c:pt>
                <c:pt idx="140">
                  <c:v>0.15823313961262581</c:v>
                </c:pt>
                <c:pt idx="141">
                  <c:v>0.16674277632304568</c:v>
                </c:pt>
                <c:pt idx="142">
                  <c:v>0.16674277632304568</c:v>
                </c:pt>
                <c:pt idx="143">
                  <c:v>0.16674277632304568</c:v>
                </c:pt>
                <c:pt idx="144">
                  <c:v>0.17553995126106298</c:v>
                </c:pt>
                <c:pt idx="145">
                  <c:v>0.17553995126106298</c:v>
                </c:pt>
                <c:pt idx="146">
                  <c:v>0.17553995126106298</c:v>
                </c:pt>
                <c:pt idx="147">
                  <c:v>0.17553995126106298</c:v>
                </c:pt>
                <c:pt idx="148">
                  <c:v>0.18462341312183858</c:v>
                </c:pt>
                <c:pt idx="149">
                  <c:v>0.18462341312183858</c:v>
                </c:pt>
                <c:pt idx="150">
                  <c:v>0.18462341312183858</c:v>
                </c:pt>
                <c:pt idx="151">
                  <c:v>0.19399117666744017</c:v>
                </c:pt>
                <c:pt idx="152">
                  <c:v>0.19399117666744017</c:v>
                </c:pt>
                <c:pt idx="153">
                  <c:v>0.20364050737589617</c:v>
                </c:pt>
                <c:pt idx="154">
                  <c:v>0.20364050737589617</c:v>
                </c:pt>
                <c:pt idx="155">
                  <c:v>0.20364050737589617</c:v>
                </c:pt>
                <c:pt idx="156">
                  <c:v>0.20364050737589617</c:v>
                </c:pt>
                <c:pt idx="157">
                  <c:v>0.20364050737589617</c:v>
                </c:pt>
                <c:pt idx="158">
                  <c:v>0.20364050737589617</c:v>
                </c:pt>
                <c:pt idx="159">
                  <c:v>0.20364050737589617</c:v>
                </c:pt>
                <c:pt idx="160">
                  <c:v>0.20364050737589617</c:v>
                </c:pt>
                <c:pt idx="161">
                  <c:v>0.20364050737589617</c:v>
                </c:pt>
                <c:pt idx="162">
                  <c:v>0.20364050737589617</c:v>
                </c:pt>
                <c:pt idx="163">
                  <c:v>0.21356790926137195</c:v>
                </c:pt>
                <c:pt idx="164">
                  <c:v>0.21356790926137195</c:v>
                </c:pt>
                <c:pt idx="165">
                  <c:v>0.21356790926137195</c:v>
                </c:pt>
                <c:pt idx="166">
                  <c:v>0.21356790926137195</c:v>
                </c:pt>
                <c:pt idx="167">
                  <c:v>0.22376911602995919</c:v>
                </c:pt>
                <c:pt idx="168">
                  <c:v>0.22376911602995919</c:v>
                </c:pt>
                <c:pt idx="169">
                  <c:v>0.22376911602995919</c:v>
                </c:pt>
                <c:pt idx="170">
                  <c:v>0.22376911602995919</c:v>
                </c:pt>
                <c:pt idx="171">
                  <c:v>0.22376911602995919</c:v>
                </c:pt>
                <c:pt idx="172">
                  <c:v>0.23423908571676</c:v>
                </c:pt>
                <c:pt idx="173">
                  <c:v>0.23423908571676</c:v>
                </c:pt>
                <c:pt idx="174">
                  <c:v>0.23423908571676</c:v>
                </c:pt>
                <c:pt idx="175">
                  <c:v>0.23423908571676</c:v>
                </c:pt>
                <c:pt idx="176">
                  <c:v>0.23423908571676</c:v>
                </c:pt>
                <c:pt idx="177">
                  <c:v>0.23423908571676</c:v>
                </c:pt>
                <c:pt idx="178">
                  <c:v>0.23423908571676</c:v>
                </c:pt>
                <c:pt idx="179">
                  <c:v>0.23423908571676</c:v>
                </c:pt>
                <c:pt idx="180">
                  <c:v>0.23423908571676</c:v>
                </c:pt>
                <c:pt idx="181">
                  <c:v>0.24497199892716504</c:v>
                </c:pt>
                <c:pt idx="182">
                  <c:v>0.24497199892716504</c:v>
                </c:pt>
                <c:pt idx="183">
                  <c:v>0.24497199892716504</c:v>
                </c:pt>
                <c:pt idx="184">
                  <c:v>0.24497199892716504</c:v>
                </c:pt>
                <c:pt idx="185">
                  <c:v>0.24497199892716504</c:v>
                </c:pt>
                <c:pt idx="186">
                  <c:v>0.24497199892716504</c:v>
                </c:pt>
                <c:pt idx="187">
                  <c:v>0.24497199892716504</c:v>
                </c:pt>
                <c:pt idx="188">
                  <c:v>0.24497199892716504</c:v>
                </c:pt>
                <c:pt idx="189">
                  <c:v>0.2559612607838585</c:v>
                </c:pt>
                <c:pt idx="190">
                  <c:v>0.2559612607838585</c:v>
                </c:pt>
                <c:pt idx="191">
                  <c:v>0.2559612607838585</c:v>
                </c:pt>
                <c:pt idx="192">
                  <c:v>0.2559612607838585</c:v>
                </c:pt>
                <c:pt idx="193">
                  <c:v>0.2559612607838585</c:v>
                </c:pt>
                <c:pt idx="194">
                  <c:v>0.2559612607838585</c:v>
                </c:pt>
                <c:pt idx="195">
                  <c:v>0.2559612607838585</c:v>
                </c:pt>
                <c:pt idx="196">
                  <c:v>0.2559612607838585</c:v>
                </c:pt>
                <c:pt idx="197">
                  <c:v>0.26719950665566916</c:v>
                </c:pt>
                <c:pt idx="198">
                  <c:v>0.26719950665566916</c:v>
                </c:pt>
                <c:pt idx="199">
                  <c:v>0.26719950665566916</c:v>
                </c:pt>
                <c:pt idx="200">
                  <c:v>0.26719950665566916</c:v>
                </c:pt>
                <c:pt idx="201">
                  <c:v>0.26719950665566916</c:v>
                </c:pt>
                <c:pt idx="202">
                  <c:v>0.26719950665566916</c:v>
                </c:pt>
                <c:pt idx="203">
                  <c:v>0.26719950665566916</c:v>
                </c:pt>
                <c:pt idx="204">
                  <c:v>0.26719950665566916</c:v>
                </c:pt>
                <c:pt idx="205">
                  <c:v>0.26719950665566916</c:v>
                </c:pt>
                <c:pt idx="206">
                  <c:v>0.27867861171912195</c:v>
                </c:pt>
                <c:pt idx="207">
                  <c:v>0.27867861171912195</c:v>
                </c:pt>
                <c:pt idx="208">
                  <c:v>0.27867861171912195</c:v>
                </c:pt>
                <c:pt idx="209">
                  <c:v>0.27867861171912195</c:v>
                </c:pt>
                <c:pt idx="210">
                  <c:v>0.27867861171912195</c:v>
                </c:pt>
                <c:pt idx="211">
                  <c:v>0.27867861171912195</c:v>
                </c:pt>
                <c:pt idx="212">
                  <c:v>0.27867861171912195</c:v>
                </c:pt>
                <c:pt idx="213">
                  <c:v>0.27867861171912195</c:v>
                </c:pt>
                <c:pt idx="214">
                  <c:v>0.27867861171912195</c:v>
                </c:pt>
                <c:pt idx="215">
                  <c:v>0.29038970437690759</c:v>
                </c:pt>
                <c:pt idx="216">
                  <c:v>0.29038970437690759</c:v>
                </c:pt>
                <c:pt idx="217">
                  <c:v>0.29038970437690759</c:v>
                </c:pt>
                <c:pt idx="218">
                  <c:v>0.29038970437690759</c:v>
                </c:pt>
                <c:pt idx="219">
                  <c:v>0.29038970437690759</c:v>
                </c:pt>
                <c:pt idx="220">
                  <c:v>0.29038970437690759</c:v>
                </c:pt>
                <c:pt idx="221">
                  <c:v>0.29038970437690759</c:v>
                </c:pt>
                <c:pt idx="222">
                  <c:v>0.29038970437690759</c:v>
                </c:pt>
                <c:pt idx="223">
                  <c:v>0.29038970437690759</c:v>
                </c:pt>
                <c:pt idx="224">
                  <c:v>0.29038970437690759</c:v>
                </c:pt>
                <c:pt idx="225">
                  <c:v>0.29038970437690759</c:v>
                </c:pt>
                <c:pt idx="226">
                  <c:v>0.30232318353072962</c:v>
                </c:pt>
                <c:pt idx="227">
                  <c:v>0.30232318353072962</c:v>
                </c:pt>
                <c:pt idx="228">
                  <c:v>0.30232318353072962</c:v>
                </c:pt>
                <c:pt idx="229">
                  <c:v>0.30232318353072962</c:v>
                </c:pt>
                <c:pt idx="230">
                  <c:v>0.30232318353072962</c:v>
                </c:pt>
                <c:pt idx="231">
                  <c:v>0.30232318353072962</c:v>
                </c:pt>
                <c:pt idx="232">
                  <c:v>0.30232318353072962</c:v>
                </c:pt>
                <c:pt idx="233">
                  <c:v>0.30232318353072962</c:v>
                </c:pt>
                <c:pt idx="234">
                  <c:v>0.30232318353072962</c:v>
                </c:pt>
                <c:pt idx="235">
                  <c:v>0.30232318353072962</c:v>
                </c:pt>
                <c:pt idx="236">
                  <c:v>0.31446873967694444</c:v>
                </c:pt>
                <c:pt idx="237">
                  <c:v>0.31446873967694444</c:v>
                </c:pt>
                <c:pt idx="238">
                  <c:v>0.31446873967694444</c:v>
                </c:pt>
                <c:pt idx="239">
                  <c:v>0.31446873967694444</c:v>
                </c:pt>
                <c:pt idx="240">
                  <c:v>0.31446873967694444</c:v>
                </c:pt>
                <c:pt idx="241">
                  <c:v>0.31446873967694444</c:v>
                </c:pt>
                <c:pt idx="242">
                  <c:v>0.31446873967694444</c:v>
                </c:pt>
                <c:pt idx="243">
                  <c:v>0.31446873967694444</c:v>
                </c:pt>
                <c:pt idx="244">
                  <c:v>0.31446873967694444</c:v>
                </c:pt>
                <c:pt idx="245">
                  <c:v>0.31446873967694444</c:v>
                </c:pt>
                <c:pt idx="246">
                  <c:v>0.31446873967694444</c:v>
                </c:pt>
                <c:pt idx="247">
                  <c:v>0.31446873967694444</c:v>
                </c:pt>
                <c:pt idx="248">
                  <c:v>0.32681537976714237</c:v>
                </c:pt>
                <c:pt idx="249">
                  <c:v>0.32681537976714237</c:v>
                </c:pt>
                <c:pt idx="250">
                  <c:v>0.32681537976714237</c:v>
                </c:pt>
                <c:pt idx="251">
                  <c:v>0.32681537976714237</c:v>
                </c:pt>
                <c:pt idx="252">
                  <c:v>0.32681537976714237</c:v>
                </c:pt>
                <c:pt idx="253">
                  <c:v>0.32681537976714237</c:v>
                </c:pt>
                <c:pt idx="254">
                  <c:v>0.32681537976714237</c:v>
                </c:pt>
                <c:pt idx="255">
                  <c:v>0.32681537976714237</c:v>
                </c:pt>
                <c:pt idx="256">
                  <c:v>0.32681537976714237</c:v>
                </c:pt>
                <c:pt idx="257">
                  <c:v>0.32681537976714237</c:v>
                </c:pt>
                <c:pt idx="258">
                  <c:v>0.33935145574568321</c:v>
                </c:pt>
                <c:pt idx="259">
                  <c:v>0.33935145574568321</c:v>
                </c:pt>
                <c:pt idx="260">
                  <c:v>0.33935145574568321</c:v>
                </c:pt>
                <c:pt idx="261">
                  <c:v>0.33935145574568321</c:v>
                </c:pt>
                <c:pt idx="262">
                  <c:v>0.33935145574568321</c:v>
                </c:pt>
                <c:pt idx="263">
                  <c:v>0.33935145574568321</c:v>
                </c:pt>
                <c:pt idx="264">
                  <c:v>0.33935145574568321</c:v>
                </c:pt>
                <c:pt idx="265">
                  <c:v>0.33935145574568321</c:v>
                </c:pt>
                <c:pt idx="266">
                  <c:v>0.33935145574568321</c:v>
                </c:pt>
                <c:pt idx="267">
                  <c:v>0.33935145574568321</c:v>
                </c:pt>
                <c:pt idx="268">
                  <c:v>0.35206469665044621</c:v>
                </c:pt>
                <c:pt idx="269">
                  <c:v>0.35206469665044621</c:v>
                </c:pt>
                <c:pt idx="270">
                  <c:v>0.35206469665044621</c:v>
                </c:pt>
                <c:pt idx="271">
                  <c:v>0.35206469665044621</c:v>
                </c:pt>
                <c:pt idx="272">
                  <c:v>0.35206469665044621</c:v>
                </c:pt>
                <c:pt idx="273">
                  <c:v>0.35206469665044621</c:v>
                </c:pt>
                <c:pt idx="274">
                  <c:v>0.35206469665044621</c:v>
                </c:pt>
                <c:pt idx="275">
                  <c:v>0.35206469665044621</c:v>
                </c:pt>
                <c:pt idx="276">
                  <c:v>0.35206469665044621</c:v>
                </c:pt>
                <c:pt idx="277">
                  <c:v>0.35206469665044621</c:v>
                </c:pt>
                <c:pt idx="278">
                  <c:v>0.35206469665044621</c:v>
                </c:pt>
                <c:pt idx="279">
                  <c:v>0.35206469665044621</c:v>
                </c:pt>
                <c:pt idx="280">
                  <c:v>0.35206469665044621</c:v>
                </c:pt>
                <c:pt idx="281">
                  <c:v>0.35206469665044621</c:v>
                </c:pt>
                <c:pt idx="282">
                  <c:v>0.35206469665044621</c:v>
                </c:pt>
                <c:pt idx="283">
                  <c:v>0.36494224413468934</c:v>
                </c:pt>
                <c:pt idx="284">
                  <c:v>0.36494224413468934</c:v>
                </c:pt>
                <c:pt idx="285">
                  <c:v>0.36494224413468934</c:v>
                </c:pt>
                <c:pt idx="286">
                  <c:v>0.36494224413468934</c:v>
                </c:pt>
                <c:pt idx="287">
                  <c:v>0.36494224413468934</c:v>
                </c:pt>
                <c:pt idx="288">
                  <c:v>0.36494224413468934</c:v>
                </c:pt>
                <c:pt idx="289">
                  <c:v>0.36494224413468934</c:v>
                </c:pt>
                <c:pt idx="290">
                  <c:v>0.36494224413468934</c:v>
                </c:pt>
                <c:pt idx="291">
                  <c:v>0.36494224413468934</c:v>
                </c:pt>
                <c:pt idx="292">
                  <c:v>0.36494224413468934</c:v>
                </c:pt>
                <c:pt idx="293">
                  <c:v>0.36494224413468934</c:v>
                </c:pt>
                <c:pt idx="294">
                  <c:v>0.37797069124146598</c:v>
                </c:pt>
                <c:pt idx="295">
                  <c:v>0.37797069124146598</c:v>
                </c:pt>
                <c:pt idx="296">
                  <c:v>0.37797069124146598</c:v>
                </c:pt>
                <c:pt idx="297">
                  <c:v>0.37797069124146598</c:v>
                </c:pt>
                <c:pt idx="298">
                  <c:v>0.37797069124146598</c:v>
                </c:pt>
                <c:pt idx="299">
                  <c:v>0.39113612423762922</c:v>
                </c:pt>
                <c:pt idx="300">
                  <c:v>0.39113612423762922</c:v>
                </c:pt>
                <c:pt idx="301">
                  <c:v>0.39113612423762922</c:v>
                </c:pt>
                <c:pt idx="302">
                  <c:v>0.39113612423762922</c:v>
                </c:pt>
                <c:pt idx="303">
                  <c:v>0.39113612423762922</c:v>
                </c:pt>
                <c:pt idx="304">
                  <c:v>0.39113612423762922</c:v>
                </c:pt>
                <c:pt idx="305">
                  <c:v>0.39113612423762922</c:v>
                </c:pt>
                <c:pt idx="306">
                  <c:v>0.39113612423762922</c:v>
                </c:pt>
                <c:pt idx="307">
                  <c:v>0.40442416729004493</c:v>
                </c:pt>
                <c:pt idx="308">
                  <c:v>0.40442416729004493</c:v>
                </c:pt>
                <c:pt idx="309">
                  <c:v>0.40442416729004493</c:v>
                </c:pt>
                <c:pt idx="310">
                  <c:v>0.40442416729004493</c:v>
                </c:pt>
                <c:pt idx="311">
                  <c:v>0.40442416729004493</c:v>
                </c:pt>
                <c:pt idx="312">
                  <c:v>0.41782002974365029</c:v>
                </c:pt>
                <c:pt idx="313">
                  <c:v>0.41782002974365029</c:v>
                </c:pt>
                <c:pt idx="314">
                  <c:v>0.41782002974365029</c:v>
                </c:pt>
                <c:pt idx="315">
                  <c:v>0.41782002974365029</c:v>
                </c:pt>
                <c:pt idx="316">
                  <c:v>0.41782002974365029</c:v>
                </c:pt>
                <c:pt idx="317">
                  <c:v>0.41782002974365029</c:v>
                </c:pt>
                <c:pt idx="318">
                  <c:v>0.41782002974365029</c:v>
                </c:pt>
                <c:pt idx="319">
                  <c:v>0.41782002974365029</c:v>
                </c:pt>
                <c:pt idx="320">
                  <c:v>0.41782002974365029</c:v>
                </c:pt>
                <c:pt idx="321">
                  <c:v>0.41782002974365029</c:v>
                </c:pt>
                <c:pt idx="322">
                  <c:v>0.41782002974365029</c:v>
                </c:pt>
                <c:pt idx="323">
                  <c:v>0.43130855574199567</c:v>
                </c:pt>
                <c:pt idx="324">
                  <c:v>0.43130855574199567</c:v>
                </c:pt>
                <c:pt idx="325">
                  <c:v>0.43130855574199567</c:v>
                </c:pt>
                <c:pt idx="326">
                  <c:v>0.43130855574199567</c:v>
                </c:pt>
                <c:pt idx="327">
                  <c:v>0.43130855574199567</c:v>
                </c:pt>
                <c:pt idx="328">
                  <c:v>0.43130855574199567</c:v>
                </c:pt>
                <c:pt idx="329">
                  <c:v>0.43130855574199567</c:v>
                </c:pt>
                <c:pt idx="330">
                  <c:v>0.44487427591035089</c:v>
                </c:pt>
                <c:pt idx="331">
                  <c:v>0.44487427591035089</c:v>
                </c:pt>
                <c:pt idx="332">
                  <c:v>0.44487427591035089</c:v>
                </c:pt>
                <c:pt idx="333">
                  <c:v>0.44487427591035089</c:v>
                </c:pt>
                <c:pt idx="334">
                  <c:v>0.44487427591035089</c:v>
                </c:pt>
                <c:pt idx="335">
                  <c:v>0.45850146080716525</c:v>
                </c:pt>
                <c:pt idx="336">
                  <c:v>0.45850146080716525</c:v>
                </c:pt>
                <c:pt idx="337">
                  <c:v>0.45850146080716525</c:v>
                </c:pt>
                <c:pt idx="338">
                  <c:v>0.45850146080716525</c:v>
                </c:pt>
                <c:pt idx="339">
                  <c:v>0.45850146080716525</c:v>
                </c:pt>
                <c:pt idx="340">
                  <c:v>0.45850146080716525</c:v>
                </c:pt>
                <c:pt idx="341">
                  <c:v>0.45850146080716525</c:v>
                </c:pt>
                <c:pt idx="342">
                  <c:v>0.45850146080716525</c:v>
                </c:pt>
                <c:pt idx="343">
                  <c:v>0.45850146080716525</c:v>
                </c:pt>
                <c:pt idx="344">
                  <c:v>0.45850146080716525</c:v>
                </c:pt>
                <c:pt idx="345">
                  <c:v>0.47217417583444021</c:v>
                </c:pt>
                <c:pt idx="346">
                  <c:v>0.47217417583444021</c:v>
                </c:pt>
                <c:pt idx="347">
                  <c:v>0.47217417583444021</c:v>
                </c:pt>
                <c:pt idx="348">
                  <c:v>0.47217417583444021</c:v>
                </c:pt>
                <c:pt idx="349">
                  <c:v>0.47217417583444021</c:v>
                </c:pt>
                <c:pt idx="350">
                  <c:v>0.47217417583444021</c:v>
                </c:pt>
                <c:pt idx="351">
                  <c:v>0.48587633728606688</c:v>
                </c:pt>
                <c:pt idx="352">
                  <c:v>0.48587633728606688</c:v>
                </c:pt>
                <c:pt idx="353">
                  <c:v>0.48587633728606688</c:v>
                </c:pt>
                <c:pt idx="354">
                  <c:v>0.48587633728606688</c:v>
                </c:pt>
                <c:pt idx="355">
                  <c:v>0.48587633728606688</c:v>
                </c:pt>
                <c:pt idx="356">
                  <c:v>0.48587633728606688</c:v>
                </c:pt>
                <c:pt idx="357">
                  <c:v>0.48587633728606688</c:v>
                </c:pt>
                <c:pt idx="358">
                  <c:v>0.48587633728606688</c:v>
                </c:pt>
                <c:pt idx="359">
                  <c:v>0.48587633728606688</c:v>
                </c:pt>
                <c:pt idx="360">
                  <c:v>0.48587633728606688</c:v>
                </c:pt>
                <c:pt idx="361">
                  <c:v>0.48587633728606688</c:v>
                </c:pt>
                <c:pt idx="362">
                  <c:v>0.48587633728606688</c:v>
                </c:pt>
                <c:pt idx="363">
                  <c:v>0.48587633728606688</c:v>
                </c:pt>
                <c:pt idx="364">
                  <c:v>0.48587633728606688</c:v>
                </c:pt>
                <c:pt idx="365">
                  <c:v>0.48587633728606688</c:v>
                </c:pt>
                <c:pt idx="366">
                  <c:v>0.48587633728606688</c:v>
                </c:pt>
                <c:pt idx="367">
                  <c:v>0.48587633728606688</c:v>
                </c:pt>
                <c:pt idx="368">
                  <c:v>0.48587633728606688</c:v>
                </c:pt>
                <c:pt idx="369">
                  <c:v>0.48587633728606688</c:v>
                </c:pt>
                <c:pt idx="370">
                  <c:v>0.49959176920543558</c:v>
                </c:pt>
                <c:pt idx="371">
                  <c:v>0.49959176920543558</c:v>
                </c:pt>
                <c:pt idx="372">
                  <c:v>0.49959176920543558</c:v>
                </c:pt>
                <c:pt idx="373">
                  <c:v>0.49959176920543558</c:v>
                </c:pt>
                <c:pt idx="374">
                  <c:v>0.49959176920543558</c:v>
                </c:pt>
                <c:pt idx="375">
                  <c:v>0.49959176920543558</c:v>
                </c:pt>
                <c:pt idx="376">
                  <c:v>0.49959176920543558</c:v>
                </c:pt>
                <c:pt idx="377">
                  <c:v>0.49959176920543558</c:v>
                </c:pt>
                <c:pt idx="378">
                  <c:v>0.49959176920543558</c:v>
                </c:pt>
                <c:pt idx="379">
                  <c:v>0.49959176920543558</c:v>
                </c:pt>
                <c:pt idx="380">
                  <c:v>0.49959176920543558</c:v>
                </c:pt>
                <c:pt idx="381">
                  <c:v>0.49959176920543558</c:v>
                </c:pt>
                <c:pt idx="382">
                  <c:v>0.49959176920543558</c:v>
                </c:pt>
                <c:pt idx="383">
                  <c:v>0.49959176920543558</c:v>
                </c:pt>
                <c:pt idx="384">
                  <c:v>0.51330426071616819</c:v>
                </c:pt>
                <c:pt idx="385">
                  <c:v>0.51330426071616819</c:v>
                </c:pt>
                <c:pt idx="386">
                  <c:v>0.51330426071616819</c:v>
                </c:pt>
                <c:pt idx="387">
                  <c:v>0.51330426071616819</c:v>
                </c:pt>
                <c:pt idx="388">
                  <c:v>0.51330426071616819</c:v>
                </c:pt>
                <c:pt idx="389">
                  <c:v>0.51330426071616819</c:v>
                </c:pt>
                <c:pt idx="390">
                  <c:v>0.51330426071616819</c:v>
                </c:pt>
                <c:pt idx="391">
                  <c:v>0.51330426071616819</c:v>
                </c:pt>
                <c:pt idx="392">
                  <c:v>0.51330426071616819</c:v>
                </c:pt>
                <c:pt idx="393">
                  <c:v>0.51330426071616819</c:v>
                </c:pt>
                <c:pt idx="394">
                  <c:v>0.51330426071616819</c:v>
                </c:pt>
                <c:pt idx="395">
                  <c:v>0.51330426071616819</c:v>
                </c:pt>
                <c:pt idx="396">
                  <c:v>0.51330426071616819</c:v>
                </c:pt>
                <c:pt idx="397">
                  <c:v>0.51330426071616819</c:v>
                </c:pt>
                <c:pt idx="398">
                  <c:v>0.51330426071616819</c:v>
                </c:pt>
                <c:pt idx="399">
                  <c:v>0.51330426071616819</c:v>
                </c:pt>
                <c:pt idx="400">
                  <c:v>0.51330426071616819</c:v>
                </c:pt>
                <c:pt idx="401">
                  <c:v>0.52699762348805557</c:v>
                </c:pt>
                <c:pt idx="402">
                  <c:v>0.52699762348805557</c:v>
                </c:pt>
                <c:pt idx="403">
                  <c:v>0.52699762348805557</c:v>
                </c:pt>
                <c:pt idx="404">
                  <c:v>0.52699762348805557</c:v>
                </c:pt>
                <c:pt idx="405">
                  <c:v>0.52699762348805557</c:v>
                </c:pt>
                <c:pt idx="406">
                  <c:v>0.52699762348805557</c:v>
                </c:pt>
                <c:pt idx="407">
                  <c:v>0.52699762348805557</c:v>
                </c:pt>
                <c:pt idx="408">
                  <c:v>0.52699762348805557</c:v>
                </c:pt>
                <c:pt idx="409">
                  <c:v>0.52699762348805557</c:v>
                </c:pt>
                <c:pt idx="410">
                  <c:v>0.52699762348805557</c:v>
                </c:pt>
                <c:pt idx="411">
                  <c:v>0.52699762348805557</c:v>
                </c:pt>
                <c:pt idx="412">
                  <c:v>0.52699762348805557</c:v>
                </c:pt>
                <c:pt idx="413">
                  <c:v>0.52699762348805557</c:v>
                </c:pt>
                <c:pt idx="414">
                  <c:v>0.52699762348805557</c:v>
                </c:pt>
                <c:pt idx="415">
                  <c:v>0.52699762348805557</c:v>
                </c:pt>
                <c:pt idx="416">
                  <c:v>0.54065574899756674</c:v>
                </c:pt>
                <c:pt idx="417">
                  <c:v>0.54065574899756674</c:v>
                </c:pt>
                <c:pt idx="418">
                  <c:v>0.54065574899756674</c:v>
                </c:pt>
                <c:pt idx="419">
                  <c:v>0.54065574899756674</c:v>
                </c:pt>
                <c:pt idx="420">
                  <c:v>0.54065574899756674</c:v>
                </c:pt>
                <c:pt idx="421">
                  <c:v>0.54065574899756674</c:v>
                </c:pt>
                <c:pt idx="422">
                  <c:v>0.54065574899756674</c:v>
                </c:pt>
                <c:pt idx="423">
                  <c:v>0.54065574899756674</c:v>
                </c:pt>
                <c:pt idx="424">
                  <c:v>0.54065574899756674</c:v>
                </c:pt>
                <c:pt idx="425">
                  <c:v>0.54065574899756674</c:v>
                </c:pt>
                <c:pt idx="426">
                  <c:v>0.54065574899756674</c:v>
                </c:pt>
                <c:pt idx="427">
                  <c:v>0.54065574899756674</c:v>
                </c:pt>
                <c:pt idx="428">
                  <c:v>0.54065574899756674</c:v>
                </c:pt>
                <c:pt idx="429">
                  <c:v>0.55426266524755463</c:v>
                </c:pt>
                <c:pt idx="430">
                  <c:v>0.55426266524755463</c:v>
                </c:pt>
                <c:pt idx="431">
                  <c:v>0.55426266524755463</c:v>
                </c:pt>
                <c:pt idx="432">
                  <c:v>0.55426266524755463</c:v>
                </c:pt>
                <c:pt idx="433">
                  <c:v>0.55426266524755463</c:v>
                </c:pt>
                <c:pt idx="434">
                  <c:v>0.55426266524755463</c:v>
                </c:pt>
                <c:pt idx="435">
                  <c:v>0.55426266524755463</c:v>
                </c:pt>
                <c:pt idx="436">
                  <c:v>0.55426266524755463</c:v>
                </c:pt>
                <c:pt idx="437">
                  <c:v>0.55426266524755463</c:v>
                </c:pt>
                <c:pt idx="438">
                  <c:v>0.55426266524755463</c:v>
                </c:pt>
                <c:pt idx="439">
                  <c:v>0.55426266524755463</c:v>
                </c:pt>
                <c:pt idx="440">
                  <c:v>0.55426266524755463</c:v>
                </c:pt>
                <c:pt idx="441">
                  <c:v>0.55426266524755463</c:v>
                </c:pt>
                <c:pt idx="442">
                  <c:v>0.55426266524755463</c:v>
                </c:pt>
                <c:pt idx="443">
                  <c:v>0.55426266524755463</c:v>
                </c:pt>
                <c:pt idx="444">
                  <c:v>0.55426266524755463</c:v>
                </c:pt>
                <c:pt idx="445">
                  <c:v>0.55426266524755463</c:v>
                </c:pt>
                <c:pt idx="446">
                  <c:v>0.56780259261256494</c:v>
                </c:pt>
                <c:pt idx="447">
                  <c:v>0.56780259261256494</c:v>
                </c:pt>
                <c:pt idx="448">
                  <c:v>0.56780259261256494</c:v>
                </c:pt>
                <c:pt idx="449">
                  <c:v>0.56780259261256494</c:v>
                </c:pt>
                <c:pt idx="450">
                  <c:v>0.56780259261256494</c:v>
                </c:pt>
                <c:pt idx="451">
                  <c:v>0.56780259261256494</c:v>
                </c:pt>
                <c:pt idx="452">
                  <c:v>0.56780259261256494</c:v>
                </c:pt>
                <c:pt idx="453">
                  <c:v>0.56780259261256494</c:v>
                </c:pt>
                <c:pt idx="454">
                  <c:v>0.56780259261256494</c:v>
                </c:pt>
                <c:pt idx="455">
                  <c:v>0.56780259261256494</c:v>
                </c:pt>
                <c:pt idx="456">
                  <c:v>0.56780259261256494</c:v>
                </c:pt>
                <c:pt idx="457">
                  <c:v>0.56780259261256494</c:v>
                </c:pt>
                <c:pt idx="458">
                  <c:v>0.56780259261256494</c:v>
                </c:pt>
                <c:pt idx="459">
                  <c:v>0.58125999848660648</c:v>
                </c:pt>
                <c:pt idx="460">
                  <c:v>0.58125999848660648</c:v>
                </c:pt>
                <c:pt idx="461">
                  <c:v>0.58125999848660648</c:v>
                </c:pt>
                <c:pt idx="462">
                  <c:v>0.58125999848660648</c:v>
                </c:pt>
                <c:pt idx="463">
                  <c:v>0.58125999848660648</c:v>
                </c:pt>
                <c:pt idx="464">
                  <c:v>0.58125999848660648</c:v>
                </c:pt>
                <c:pt idx="465">
                  <c:v>0.58125999848660648</c:v>
                </c:pt>
                <c:pt idx="466">
                  <c:v>0.58125999848660648</c:v>
                </c:pt>
                <c:pt idx="467">
                  <c:v>0.58125999848660648</c:v>
                </c:pt>
                <c:pt idx="468">
                  <c:v>0.58125999848660648</c:v>
                </c:pt>
                <c:pt idx="469">
                  <c:v>0.58125999848660648</c:v>
                </c:pt>
                <c:pt idx="470">
                  <c:v>0.58125999848660648</c:v>
                </c:pt>
                <c:pt idx="471">
                  <c:v>0.58125999848660648</c:v>
                </c:pt>
                <c:pt idx="472">
                  <c:v>0.58125999848660648</c:v>
                </c:pt>
                <c:pt idx="473">
                  <c:v>0.58125999848660648</c:v>
                </c:pt>
                <c:pt idx="474">
                  <c:v>0.58125999848660648</c:v>
                </c:pt>
                <c:pt idx="475">
                  <c:v>0.58125999848660648</c:v>
                </c:pt>
                <c:pt idx="476">
                  <c:v>0.58125999848660648</c:v>
                </c:pt>
                <c:pt idx="477">
                  <c:v>0.58125999848660648</c:v>
                </c:pt>
                <c:pt idx="478">
                  <c:v>0.58125999848660648</c:v>
                </c:pt>
                <c:pt idx="479">
                  <c:v>0.58125999848660648</c:v>
                </c:pt>
                <c:pt idx="480">
                  <c:v>0.58125999848660648</c:v>
                </c:pt>
                <c:pt idx="481">
                  <c:v>0.58125999848660648</c:v>
                </c:pt>
                <c:pt idx="482">
                  <c:v>0.59461965041925968</c:v>
                </c:pt>
                <c:pt idx="483">
                  <c:v>0.59461965041925968</c:v>
                </c:pt>
                <c:pt idx="484">
                  <c:v>0.59461965041925968</c:v>
                </c:pt>
                <c:pt idx="485">
                  <c:v>0.59461965041925968</c:v>
                </c:pt>
                <c:pt idx="486">
                  <c:v>0.59461965041925968</c:v>
                </c:pt>
                <c:pt idx="487">
                  <c:v>0.59461965041925968</c:v>
                </c:pt>
                <c:pt idx="488">
                  <c:v>0.59461965041925968</c:v>
                </c:pt>
                <c:pt idx="489">
                  <c:v>0.59461965041925968</c:v>
                </c:pt>
                <c:pt idx="490">
                  <c:v>0.59461965041925968</c:v>
                </c:pt>
                <c:pt idx="491">
                  <c:v>0.59461965041925968</c:v>
                </c:pt>
                <c:pt idx="492">
                  <c:v>0.59461965041925968</c:v>
                </c:pt>
                <c:pt idx="493">
                  <c:v>0.59461965041925968</c:v>
                </c:pt>
                <c:pt idx="494">
                  <c:v>0.59461965041925968</c:v>
                </c:pt>
                <c:pt idx="495">
                  <c:v>0.59461965041925968</c:v>
                </c:pt>
                <c:pt idx="496">
                  <c:v>0.59461965041925968</c:v>
                </c:pt>
                <c:pt idx="497">
                  <c:v>0.59461965041925968</c:v>
                </c:pt>
                <c:pt idx="498">
                  <c:v>0.59461965041925968</c:v>
                </c:pt>
                <c:pt idx="499">
                  <c:v>0.59461965041925968</c:v>
                </c:pt>
                <c:pt idx="500">
                  <c:v>0.59461965041925968</c:v>
                </c:pt>
                <c:pt idx="501">
                  <c:v>0.59461965041925968</c:v>
                </c:pt>
                <c:pt idx="502">
                  <c:v>0.59461965041925968</c:v>
                </c:pt>
                <c:pt idx="503">
                  <c:v>0.59461965041925968</c:v>
                </c:pt>
                <c:pt idx="504">
                  <c:v>0.59461965041925968</c:v>
                </c:pt>
                <c:pt idx="505">
                  <c:v>0.59461965041925968</c:v>
                </c:pt>
                <c:pt idx="506">
                  <c:v>0.59461965041925968</c:v>
                </c:pt>
                <c:pt idx="507">
                  <c:v>0.59461965041925968</c:v>
                </c:pt>
                <c:pt idx="508">
                  <c:v>0.59461965041925968</c:v>
                </c:pt>
                <c:pt idx="509">
                  <c:v>0.59461965041925968</c:v>
                </c:pt>
                <c:pt idx="510">
                  <c:v>0.60786666743895545</c:v>
                </c:pt>
                <c:pt idx="511">
                  <c:v>0.60786666743895545</c:v>
                </c:pt>
                <c:pt idx="512">
                  <c:v>0.60786666743895545</c:v>
                </c:pt>
                <c:pt idx="513">
                  <c:v>0.60786666743895545</c:v>
                </c:pt>
                <c:pt idx="514">
                  <c:v>0.60786666743895545</c:v>
                </c:pt>
                <c:pt idx="515">
                  <c:v>0.60786666743895545</c:v>
                </c:pt>
                <c:pt idx="516">
                  <c:v>0.60786666743895545</c:v>
                </c:pt>
                <c:pt idx="517">
                  <c:v>0.60786666743895545</c:v>
                </c:pt>
                <c:pt idx="518">
                  <c:v>0.60786666743895545</c:v>
                </c:pt>
                <c:pt idx="519">
                  <c:v>0.60786666743895545</c:v>
                </c:pt>
                <c:pt idx="520">
                  <c:v>0.60786666743895545</c:v>
                </c:pt>
                <c:pt idx="521">
                  <c:v>0.60786666743895545</c:v>
                </c:pt>
                <c:pt idx="522">
                  <c:v>0.60786666743895545</c:v>
                </c:pt>
                <c:pt idx="523">
                  <c:v>0.60786666743895545</c:v>
                </c:pt>
                <c:pt idx="524">
                  <c:v>0.60786666743895545</c:v>
                </c:pt>
                <c:pt idx="525">
                  <c:v>0.60786666743895545</c:v>
                </c:pt>
                <c:pt idx="526">
                  <c:v>0.60786666743895545</c:v>
                </c:pt>
                <c:pt idx="527">
                  <c:v>0.60786666743895545</c:v>
                </c:pt>
                <c:pt idx="528">
                  <c:v>0.60786666743895545</c:v>
                </c:pt>
                <c:pt idx="529">
                  <c:v>0.60786666743895545</c:v>
                </c:pt>
                <c:pt idx="530">
                  <c:v>0.60786666743895545</c:v>
                </c:pt>
                <c:pt idx="531">
                  <c:v>0.60786666743895545</c:v>
                </c:pt>
                <c:pt idx="532">
                  <c:v>0.60786666743895545</c:v>
                </c:pt>
                <c:pt idx="533">
                  <c:v>0.60786666743895545</c:v>
                </c:pt>
                <c:pt idx="534">
                  <c:v>0.60786666743895545</c:v>
                </c:pt>
                <c:pt idx="535">
                  <c:v>0.62098656927818918</c:v>
                </c:pt>
                <c:pt idx="536">
                  <c:v>0.62098656927818918</c:v>
                </c:pt>
                <c:pt idx="537">
                  <c:v>0.62098656927818918</c:v>
                </c:pt>
                <c:pt idx="538">
                  <c:v>0.62098656927818918</c:v>
                </c:pt>
                <c:pt idx="539">
                  <c:v>0.62098656927818918</c:v>
                </c:pt>
                <c:pt idx="540">
                  <c:v>0.62098656927818918</c:v>
                </c:pt>
                <c:pt idx="541">
                  <c:v>0.62098656927818918</c:v>
                </c:pt>
                <c:pt idx="542">
                  <c:v>0.62098656927818918</c:v>
                </c:pt>
                <c:pt idx="543">
                  <c:v>0.62098656927818918</c:v>
                </c:pt>
                <c:pt idx="544">
                  <c:v>0.62098656927818918</c:v>
                </c:pt>
                <c:pt idx="545">
                  <c:v>0.62098656927818918</c:v>
                </c:pt>
                <c:pt idx="546">
                  <c:v>0.62098656927818918</c:v>
                </c:pt>
                <c:pt idx="547">
                  <c:v>0.62098656927818918</c:v>
                </c:pt>
                <c:pt idx="548">
                  <c:v>0.62098656927818918</c:v>
                </c:pt>
                <c:pt idx="549">
                  <c:v>0.62098656927818918</c:v>
                </c:pt>
                <c:pt idx="550">
                  <c:v>0.62098656927818918</c:v>
                </c:pt>
                <c:pt idx="551">
                  <c:v>0.62098656927818918</c:v>
                </c:pt>
                <c:pt idx="552">
                  <c:v>0.62098656927818918</c:v>
                </c:pt>
                <c:pt idx="553">
                  <c:v>0.62098656927818918</c:v>
                </c:pt>
                <c:pt idx="554">
                  <c:v>0.62098656927818918</c:v>
                </c:pt>
                <c:pt idx="555">
                  <c:v>0.62098656927818918</c:v>
                </c:pt>
                <c:pt idx="556">
                  <c:v>0.62098656927818918</c:v>
                </c:pt>
                <c:pt idx="557">
                  <c:v>0.63396532323191102</c:v>
                </c:pt>
                <c:pt idx="558">
                  <c:v>0.63396532323191102</c:v>
                </c:pt>
                <c:pt idx="559">
                  <c:v>0.63396532323191102</c:v>
                </c:pt>
                <c:pt idx="560">
                  <c:v>0.63396532323191102</c:v>
                </c:pt>
                <c:pt idx="561">
                  <c:v>0.63396532323191102</c:v>
                </c:pt>
                <c:pt idx="562">
                  <c:v>0.63396532323191102</c:v>
                </c:pt>
                <c:pt idx="563">
                  <c:v>0.63396532323191102</c:v>
                </c:pt>
                <c:pt idx="564">
                  <c:v>0.63396532323191102</c:v>
                </c:pt>
                <c:pt idx="565">
                  <c:v>0.63396532323191102</c:v>
                </c:pt>
                <c:pt idx="566">
                  <c:v>0.63396532323191102</c:v>
                </c:pt>
                <c:pt idx="567">
                  <c:v>0.63396532323191102</c:v>
                </c:pt>
                <c:pt idx="568">
                  <c:v>0.63396532323191102</c:v>
                </c:pt>
                <c:pt idx="569">
                  <c:v>0.63396532323191102</c:v>
                </c:pt>
                <c:pt idx="570">
                  <c:v>0.63396532323191102</c:v>
                </c:pt>
                <c:pt idx="571">
                  <c:v>0.63396532323191102</c:v>
                </c:pt>
                <c:pt idx="572">
                  <c:v>0.63396532323191102</c:v>
                </c:pt>
                <c:pt idx="573">
                  <c:v>0.63396532323191102</c:v>
                </c:pt>
                <c:pt idx="574">
                  <c:v>0.63396532323191102</c:v>
                </c:pt>
                <c:pt idx="575">
                  <c:v>0.63396532323191102</c:v>
                </c:pt>
                <c:pt idx="576">
                  <c:v>0.63396532323191102</c:v>
                </c:pt>
                <c:pt idx="577">
                  <c:v>0.63396532323191102</c:v>
                </c:pt>
                <c:pt idx="578">
                  <c:v>0.64678938840099853</c:v>
                </c:pt>
                <c:pt idx="579">
                  <c:v>0.64678938840099853</c:v>
                </c:pt>
                <c:pt idx="580">
                  <c:v>0.64678938840099853</c:v>
                </c:pt>
                <c:pt idx="581">
                  <c:v>0.64678938840099853</c:v>
                </c:pt>
                <c:pt idx="582">
                  <c:v>0.64678938840099853</c:v>
                </c:pt>
                <c:pt idx="583">
                  <c:v>0.64678938840099853</c:v>
                </c:pt>
                <c:pt idx="584">
                  <c:v>0.64678938840099853</c:v>
                </c:pt>
                <c:pt idx="585">
                  <c:v>0.64678938840099853</c:v>
                </c:pt>
                <c:pt idx="586">
                  <c:v>0.64678938840099853</c:v>
                </c:pt>
                <c:pt idx="587">
                  <c:v>0.64678938840099853</c:v>
                </c:pt>
                <c:pt idx="588">
                  <c:v>0.64678938840099853</c:v>
                </c:pt>
                <c:pt idx="589">
                  <c:v>0.64678938840099853</c:v>
                </c:pt>
                <c:pt idx="590">
                  <c:v>0.64678938840099853</c:v>
                </c:pt>
                <c:pt idx="591">
                  <c:v>0.64678938840099853</c:v>
                </c:pt>
                <c:pt idx="592">
                  <c:v>0.64678938840099853</c:v>
                </c:pt>
                <c:pt idx="593">
                  <c:v>0.64678938840099853</c:v>
                </c:pt>
                <c:pt idx="594">
                  <c:v>0.64678938840099853</c:v>
                </c:pt>
                <c:pt idx="595">
                  <c:v>0.64678938840099853</c:v>
                </c:pt>
                <c:pt idx="596">
                  <c:v>0.64678938840099853</c:v>
                </c:pt>
                <c:pt idx="597">
                  <c:v>0.64678938840099853</c:v>
                </c:pt>
                <c:pt idx="598">
                  <c:v>0.64678938840099853</c:v>
                </c:pt>
                <c:pt idx="599">
                  <c:v>0.64678938840099853</c:v>
                </c:pt>
                <c:pt idx="600">
                  <c:v>0.64678938840099853</c:v>
                </c:pt>
                <c:pt idx="601">
                  <c:v>0.64678938840099853</c:v>
                </c:pt>
                <c:pt idx="602">
                  <c:v>0.64678938840099853</c:v>
                </c:pt>
                <c:pt idx="603">
                  <c:v>0.65944575709306863</c:v>
                </c:pt>
                <c:pt idx="604">
                  <c:v>0.65944575709306863</c:v>
                </c:pt>
                <c:pt idx="605">
                  <c:v>0.65944575709306863</c:v>
                </c:pt>
                <c:pt idx="606">
                  <c:v>0.65944575709306863</c:v>
                </c:pt>
                <c:pt idx="607">
                  <c:v>0.65944575709306863</c:v>
                </c:pt>
                <c:pt idx="608">
                  <c:v>0.65944575709306863</c:v>
                </c:pt>
                <c:pt idx="609">
                  <c:v>0.65944575709306863</c:v>
                </c:pt>
                <c:pt idx="610">
                  <c:v>0.65944575709306863</c:v>
                </c:pt>
                <c:pt idx="611">
                  <c:v>0.65944575709306863</c:v>
                </c:pt>
                <c:pt idx="612">
                  <c:v>0.65944575709306863</c:v>
                </c:pt>
                <c:pt idx="613">
                  <c:v>0.65944575709306863</c:v>
                </c:pt>
                <c:pt idx="614">
                  <c:v>0.65944575709306863</c:v>
                </c:pt>
                <c:pt idx="615">
                  <c:v>0.65944575709306863</c:v>
                </c:pt>
                <c:pt idx="616">
                  <c:v>0.65944575709306863</c:v>
                </c:pt>
                <c:pt idx="617">
                  <c:v>0.65944575709306863</c:v>
                </c:pt>
                <c:pt idx="618">
                  <c:v>0.65944575709306863</c:v>
                </c:pt>
                <c:pt idx="619">
                  <c:v>0.65944575709306863</c:v>
                </c:pt>
                <c:pt idx="620">
                  <c:v>0.65944575709306863</c:v>
                </c:pt>
                <c:pt idx="621">
                  <c:v>0.65944575709306863</c:v>
                </c:pt>
                <c:pt idx="622">
                  <c:v>0.65944575709306863</c:v>
                </c:pt>
                <c:pt idx="623">
                  <c:v>0.65944575709306863</c:v>
                </c:pt>
                <c:pt idx="624">
                  <c:v>0.65944575709306863</c:v>
                </c:pt>
                <c:pt idx="625">
                  <c:v>0.65944575709306863</c:v>
                </c:pt>
                <c:pt idx="626">
                  <c:v>0.65944575709306863</c:v>
                </c:pt>
                <c:pt idx="627">
                  <c:v>0.65944575709306863</c:v>
                </c:pt>
                <c:pt idx="628">
                  <c:v>0.65944575709306863</c:v>
                </c:pt>
                <c:pt idx="629">
                  <c:v>0.65944575709306863</c:v>
                </c:pt>
                <c:pt idx="630">
                  <c:v>0.65944575709306863</c:v>
                </c:pt>
                <c:pt idx="631">
                  <c:v>0.65944575709306863</c:v>
                </c:pt>
                <c:pt idx="632">
                  <c:v>0.65944575709306863</c:v>
                </c:pt>
                <c:pt idx="633">
                  <c:v>0.65944575709306863</c:v>
                </c:pt>
                <c:pt idx="634">
                  <c:v>0.65944575709306863</c:v>
                </c:pt>
                <c:pt idx="635">
                  <c:v>0.67192199317606527</c:v>
                </c:pt>
                <c:pt idx="636">
                  <c:v>0.67192199317606527</c:v>
                </c:pt>
                <c:pt idx="637">
                  <c:v>0.67192199317606527</c:v>
                </c:pt>
                <c:pt idx="638">
                  <c:v>0.67192199317606527</c:v>
                </c:pt>
                <c:pt idx="639">
                  <c:v>0.67192199317606527</c:v>
                </c:pt>
                <c:pt idx="640">
                  <c:v>0.67192199317606527</c:v>
                </c:pt>
                <c:pt idx="641">
                  <c:v>0.67192199317606527</c:v>
                </c:pt>
                <c:pt idx="642">
                  <c:v>0.67192199317606527</c:v>
                </c:pt>
                <c:pt idx="643">
                  <c:v>0.67192199317606527</c:v>
                </c:pt>
                <c:pt idx="644">
                  <c:v>0.67192199317606527</c:v>
                </c:pt>
                <c:pt idx="645">
                  <c:v>0.67192199317606527</c:v>
                </c:pt>
                <c:pt idx="646">
                  <c:v>0.67192199317606527</c:v>
                </c:pt>
                <c:pt idx="647">
                  <c:v>0.67192199317606527</c:v>
                </c:pt>
                <c:pt idx="648">
                  <c:v>0.67192199317606527</c:v>
                </c:pt>
                <c:pt idx="649">
                  <c:v>0.67192199317606527</c:v>
                </c:pt>
                <c:pt idx="650">
                  <c:v>0.67192199317606527</c:v>
                </c:pt>
                <c:pt idx="651">
                  <c:v>0.67192199317606527</c:v>
                </c:pt>
                <c:pt idx="652">
                  <c:v>0.67192199317606527</c:v>
                </c:pt>
                <c:pt idx="653">
                  <c:v>0.67192199317606527</c:v>
                </c:pt>
                <c:pt idx="654">
                  <c:v>0.67192199317606527</c:v>
                </c:pt>
                <c:pt idx="655">
                  <c:v>0.67192199317606527</c:v>
                </c:pt>
                <c:pt idx="656">
                  <c:v>0.67192199317606527</c:v>
                </c:pt>
                <c:pt idx="657">
                  <c:v>0.67192199317606527</c:v>
                </c:pt>
                <c:pt idx="658">
                  <c:v>0.67192199317606527</c:v>
                </c:pt>
                <c:pt idx="659">
                  <c:v>0.67192199317606527</c:v>
                </c:pt>
                <c:pt idx="660">
                  <c:v>0.67192199317606527</c:v>
                </c:pt>
                <c:pt idx="661">
                  <c:v>0.67192199317606527</c:v>
                </c:pt>
                <c:pt idx="662">
                  <c:v>0.67192199317606527</c:v>
                </c:pt>
                <c:pt idx="663">
                  <c:v>0.67192199317606527</c:v>
                </c:pt>
                <c:pt idx="664">
                  <c:v>0.68420626720439615</c:v>
                </c:pt>
                <c:pt idx="665">
                  <c:v>0.68420626720439615</c:v>
                </c:pt>
                <c:pt idx="666">
                  <c:v>0.68420626720439615</c:v>
                </c:pt>
                <c:pt idx="667">
                  <c:v>0.68420626720439615</c:v>
                </c:pt>
                <c:pt idx="668">
                  <c:v>0.68420626720439615</c:v>
                </c:pt>
                <c:pt idx="669">
                  <c:v>0.68420626720439615</c:v>
                </c:pt>
                <c:pt idx="670">
                  <c:v>0.68420626720439615</c:v>
                </c:pt>
                <c:pt idx="671">
                  <c:v>0.68420626720439615</c:v>
                </c:pt>
                <c:pt idx="672">
                  <c:v>0.68420626720439615</c:v>
                </c:pt>
                <c:pt idx="673">
                  <c:v>0.68420626720439615</c:v>
                </c:pt>
                <c:pt idx="674">
                  <c:v>0.68420626720439615</c:v>
                </c:pt>
                <c:pt idx="675">
                  <c:v>0.68420626720439615</c:v>
                </c:pt>
                <c:pt idx="676">
                  <c:v>0.68420626720439615</c:v>
                </c:pt>
                <c:pt idx="677">
                  <c:v>0.68420626720439615</c:v>
                </c:pt>
                <c:pt idx="678">
                  <c:v>0.68420626720439615</c:v>
                </c:pt>
                <c:pt idx="679">
                  <c:v>0.68420626720439615</c:v>
                </c:pt>
                <c:pt idx="680">
                  <c:v>0.68420626720439615</c:v>
                </c:pt>
                <c:pt idx="681">
                  <c:v>0.68420626720439615</c:v>
                </c:pt>
                <c:pt idx="682">
                  <c:v>0.68420626720439615</c:v>
                </c:pt>
                <c:pt idx="683">
                  <c:v>0.68420626720439615</c:v>
                </c:pt>
                <c:pt idx="684">
                  <c:v>0.68420626720439615</c:v>
                </c:pt>
                <c:pt idx="685">
                  <c:v>0.68420626720439615</c:v>
                </c:pt>
                <c:pt idx="686">
                  <c:v>0.68420626720439615</c:v>
                </c:pt>
                <c:pt idx="687">
                  <c:v>0.68420626720439615</c:v>
                </c:pt>
                <c:pt idx="688">
                  <c:v>0.68420626720439615</c:v>
                </c:pt>
                <c:pt idx="689">
                  <c:v>0.69628738816303648</c:v>
                </c:pt>
                <c:pt idx="690">
                  <c:v>0.69628738816303648</c:v>
                </c:pt>
                <c:pt idx="691">
                  <c:v>0.69628738816303648</c:v>
                </c:pt>
                <c:pt idx="692">
                  <c:v>0.69628738816303648</c:v>
                </c:pt>
                <c:pt idx="693">
                  <c:v>0.69628738816303648</c:v>
                </c:pt>
                <c:pt idx="694">
                  <c:v>0.69628738816303648</c:v>
                </c:pt>
                <c:pt idx="695">
                  <c:v>0.69628738816303648</c:v>
                </c:pt>
                <c:pt idx="696">
                  <c:v>0.69628738816303648</c:v>
                </c:pt>
                <c:pt idx="697">
                  <c:v>0.69628738816303648</c:v>
                </c:pt>
                <c:pt idx="698">
                  <c:v>0.69628738816303648</c:v>
                </c:pt>
                <c:pt idx="699">
                  <c:v>0.69628738816303648</c:v>
                </c:pt>
                <c:pt idx="700">
                  <c:v>0.69628738816303648</c:v>
                </c:pt>
                <c:pt idx="701">
                  <c:v>0.69628738816303648</c:v>
                </c:pt>
                <c:pt idx="702">
                  <c:v>0.69628738816303648</c:v>
                </c:pt>
                <c:pt idx="703">
                  <c:v>0.69628738816303648</c:v>
                </c:pt>
                <c:pt idx="704">
                  <c:v>0.69628738816303648</c:v>
                </c:pt>
                <c:pt idx="705">
                  <c:v>0.69628738816303648</c:v>
                </c:pt>
                <c:pt idx="706">
                  <c:v>0.69628738816303648</c:v>
                </c:pt>
                <c:pt idx="707">
                  <c:v>0.69628738816303648</c:v>
                </c:pt>
                <c:pt idx="708">
                  <c:v>0.70815483170012161</c:v>
                </c:pt>
                <c:pt idx="709">
                  <c:v>0.70815483170012161</c:v>
                </c:pt>
                <c:pt idx="710">
                  <c:v>0.70815483170012161</c:v>
                </c:pt>
                <c:pt idx="711">
                  <c:v>0.70815483170012161</c:v>
                </c:pt>
                <c:pt idx="712">
                  <c:v>0.70815483170012161</c:v>
                </c:pt>
                <c:pt idx="713">
                  <c:v>0.70815483170012161</c:v>
                </c:pt>
                <c:pt idx="714">
                  <c:v>0.70815483170012161</c:v>
                </c:pt>
                <c:pt idx="715">
                  <c:v>0.70815483170012161</c:v>
                </c:pt>
                <c:pt idx="716">
                  <c:v>0.70815483170012161</c:v>
                </c:pt>
                <c:pt idx="717">
                  <c:v>0.70815483170012161</c:v>
                </c:pt>
                <c:pt idx="718">
                  <c:v>0.70815483170012161</c:v>
                </c:pt>
                <c:pt idx="719">
                  <c:v>0.70815483170012161</c:v>
                </c:pt>
                <c:pt idx="720">
                  <c:v>0.70815483170012161</c:v>
                </c:pt>
                <c:pt idx="721">
                  <c:v>0.70815483170012161</c:v>
                </c:pt>
                <c:pt idx="722">
                  <c:v>0.70815483170012161</c:v>
                </c:pt>
                <c:pt idx="723">
                  <c:v>0.70815483170012161</c:v>
                </c:pt>
                <c:pt idx="724">
                  <c:v>0.71979876474693316</c:v>
                </c:pt>
                <c:pt idx="725">
                  <c:v>0.71979876474693316</c:v>
                </c:pt>
                <c:pt idx="726">
                  <c:v>0.71979876474693316</c:v>
                </c:pt>
                <c:pt idx="727">
                  <c:v>0.71979876474693316</c:v>
                </c:pt>
                <c:pt idx="728">
                  <c:v>0.71979876474693316</c:v>
                </c:pt>
                <c:pt idx="729">
                  <c:v>0.71979876474693316</c:v>
                </c:pt>
                <c:pt idx="730">
                  <c:v>0.71979876474693316</c:v>
                </c:pt>
                <c:pt idx="731">
                  <c:v>0.71979876474693316</c:v>
                </c:pt>
                <c:pt idx="732">
                  <c:v>0.71979876474693316</c:v>
                </c:pt>
                <c:pt idx="733">
                  <c:v>0.71979876474693316</c:v>
                </c:pt>
                <c:pt idx="734">
                  <c:v>0.71979876474693316</c:v>
                </c:pt>
                <c:pt idx="735">
                  <c:v>0.71979876474693316</c:v>
                </c:pt>
                <c:pt idx="736">
                  <c:v>0.71979876474693316</c:v>
                </c:pt>
                <c:pt idx="737">
                  <c:v>0.71979876474693316</c:v>
                </c:pt>
                <c:pt idx="738">
                  <c:v>0.71979876474693316</c:v>
                </c:pt>
                <c:pt idx="739">
                  <c:v>0.71979876474693316</c:v>
                </c:pt>
                <c:pt idx="740">
                  <c:v>0.71979876474693316</c:v>
                </c:pt>
                <c:pt idx="741">
                  <c:v>0.73121006644974473</c:v>
                </c:pt>
                <c:pt idx="742">
                  <c:v>0.73121006644974473</c:v>
                </c:pt>
                <c:pt idx="743">
                  <c:v>0.73121006644974473</c:v>
                </c:pt>
                <c:pt idx="744">
                  <c:v>0.73121006644974473</c:v>
                </c:pt>
                <c:pt idx="745">
                  <c:v>0.73121006644974473</c:v>
                </c:pt>
                <c:pt idx="746">
                  <c:v>0.73121006644974473</c:v>
                </c:pt>
                <c:pt idx="747">
                  <c:v>0.73121006644974473</c:v>
                </c:pt>
                <c:pt idx="748">
                  <c:v>0.73121006644974473</c:v>
                </c:pt>
                <c:pt idx="749">
                  <c:v>0.73121006644974473</c:v>
                </c:pt>
                <c:pt idx="750">
                  <c:v>0.73121006644974473</c:v>
                </c:pt>
                <c:pt idx="751">
                  <c:v>0.73121006644974473</c:v>
                </c:pt>
                <c:pt idx="752">
                  <c:v>0.73121006644974473</c:v>
                </c:pt>
                <c:pt idx="753">
                  <c:v>0.73121006644974473</c:v>
                </c:pt>
                <c:pt idx="754">
                  <c:v>0.73121006644974473</c:v>
                </c:pt>
                <c:pt idx="755">
                  <c:v>0.73121006644974473</c:v>
                </c:pt>
                <c:pt idx="756">
                  <c:v>0.73121006644974473</c:v>
                </c:pt>
                <c:pt idx="757">
                  <c:v>0.73121006644974473</c:v>
                </c:pt>
                <c:pt idx="758">
                  <c:v>0.74238034536661046</c:v>
                </c:pt>
                <c:pt idx="759">
                  <c:v>0.74238034536661046</c:v>
                </c:pt>
                <c:pt idx="760">
                  <c:v>0.74238034536661046</c:v>
                </c:pt>
                <c:pt idx="761">
                  <c:v>0.74238034536661046</c:v>
                </c:pt>
                <c:pt idx="762">
                  <c:v>0.74238034536661046</c:v>
                </c:pt>
                <c:pt idx="763">
                  <c:v>0.74238034536661046</c:v>
                </c:pt>
                <c:pt idx="764">
                  <c:v>0.74238034536661046</c:v>
                </c:pt>
                <c:pt idx="765">
                  <c:v>0.74238034536661046</c:v>
                </c:pt>
                <c:pt idx="766">
                  <c:v>0.74238034536661046</c:v>
                </c:pt>
                <c:pt idx="767">
                  <c:v>0.74238034536661046</c:v>
                </c:pt>
                <c:pt idx="768">
                  <c:v>0.74238034536661046</c:v>
                </c:pt>
                <c:pt idx="769">
                  <c:v>0.74238034536661046</c:v>
                </c:pt>
                <c:pt idx="770">
                  <c:v>0.74238034536661046</c:v>
                </c:pt>
                <c:pt idx="771">
                  <c:v>0.74238034536661046</c:v>
                </c:pt>
                <c:pt idx="772">
                  <c:v>0.74238034536661046</c:v>
                </c:pt>
                <c:pt idx="773">
                  <c:v>0.74238034536661046</c:v>
                </c:pt>
                <c:pt idx="774">
                  <c:v>0.74238034536661046</c:v>
                </c:pt>
                <c:pt idx="775">
                  <c:v>0.74238034536661046</c:v>
                </c:pt>
                <c:pt idx="776">
                  <c:v>0.74238034536661046</c:v>
                </c:pt>
                <c:pt idx="777">
                  <c:v>0.74238034536661046</c:v>
                </c:pt>
                <c:pt idx="778">
                  <c:v>0.74238034536661046</c:v>
                </c:pt>
                <c:pt idx="779">
                  <c:v>0.75330195290790558</c:v>
                </c:pt>
                <c:pt idx="780">
                  <c:v>0.75330195290790558</c:v>
                </c:pt>
                <c:pt idx="781">
                  <c:v>0.75330195290790558</c:v>
                </c:pt>
                <c:pt idx="782">
                  <c:v>0.75330195290790558</c:v>
                </c:pt>
                <c:pt idx="783">
                  <c:v>0.75330195290790558</c:v>
                </c:pt>
                <c:pt idx="784">
                  <c:v>0.75330195290790558</c:v>
                </c:pt>
                <c:pt idx="785">
                  <c:v>0.75330195290790558</c:v>
                </c:pt>
                <c:pt idx="786">
                  <c:v>0.75330195290790558</c:v>
                </c:pt>
                <c:pt idx="787">
                  <c:v>0.75330195290790558</c:v>
                </c:pt>
                <c:pt idx="788">
                  <c:v>0.75330195290790558</c:v>
                </c:pt>
                <c:pt idx="789">
                  <c:v>0.75330195290790558</c:v>
                </c:pt>
                <c:pt idx="790">
                  <c:v>0.75330195290790558</c:v>
                </c:pt>
                <c:pt idx="791">
                  <c:v>0.75330195290790558</c:v>
                </c:pt>
                <c:pt idx="792">
                  <c:v>0.75330195290790558</c:v>
                </c:pt>
                <c:pt idx="793">
                  <c:v>0.75330195290790558</c:v>
                </c:pt>
                <c:pt idx="794">
                  <c:v>0.75330195290790558</c:v>
                </c:pt>
                <c:pt idx="795">
                  <c:v>0.76396799302714846</c:v>
                </c:pt>
                <c:pt idx="796">
                  <c:v>0.76396799302714846</c:v>
                </c:pt>
                <c:pt idx="797">
                  <c:v>0.76396799302714846</c:v>
                </c:pt>
                <c:pt idx="798">
                  <c:v>0.76396799302714846</c:v>
                </c:pt>
                <c:pt idx="799">
                  <c:v>0.76396799302714846</c:v>
                </c:pt>
                <c:pt idx="800">
                  <c:v>0.76396799302714846</c:v>
                </c:pt>
                <c:pt idx="801">
                  <c:v>0.76396799302714846</c:v>
                </c:pt>
                <c:pt idx="802">
                  <c:v>0.76396799302714846</c:v>
                </c:pt>
                <c:pt idx="803">
                  <c:v>0.76396799302714846</c:v>
                </c:pt>
                <c:pt idx="804">
                  <c:v>0.76396799302714846</c:v>
                </c:pt>
                <c:pt idx="805">
                  <c:v>0.76396799302714846</c:v>
                </c:pt>
                <c:pt idx="806">
                  <c:v>0.76396799302714846</c:v>
                </c:pt>
                <c:pt idx="807">
                  <c:v>0.76396799302714846</c:v>
                </c:pt>
                <c:pt idx="808">
                  <c:v>0.76396799302714846</c:v>
                </c:pt>
                <c:pt idx="809">
                  <c:v>0.77437232819371615</c:v>
                </c:pt>
                <c:pt idx="810">
                  <c:v>0.77437232819371615</c:v>
                </c:pt>
                <c:pt idx="811">
                  <c:v>0.77437232819371615</c:v>
                </c:pt>
                <c:pt idx="812">
                  <c:v>0.77437232819371615</c:v>
                </c:pt>
                <c:pt idx="813">
                  <c:v>0.77437232819371615</c:v>
                </c:pt>
                <c:pt idx="814">
                  <c:v>0.77437232819371615</c:v>
                </c:pt>
                <c:pt idx="815">
                  <c:v>0.77437232819371615</c:v>
                </c:pt>
                <c:pt idx="816">
                  <c:v>0.77437232819371615</c:v>
                </c:pt>
                <c:pt idx="817">
                  <c:v>0.77437232819371615</c:v>
                </c:pt>
                <c:pt idx="818">
                  <c:v>0.77437232819371615</c:v>
                </c:pt>
                <c:pt idx="819">
                  <c:v>0.77437232819371615</c:v>
                </c:pt>
                <c:pt idx="820">
                  <c:v>0.77437232819371615</c:v>
                </c:pt>
                <c:pt idx="821">
                  <c:v>0.77437232819371615</c:v>
                </c:pt>
                <c:pt idx="822">
                  <c:v>0.77437232819371615</c:v>
                </c:pt>
                <c:pt idx="823">
                  <c:v>0.77437232819371615</c:v>
                </c:pt>
                <c:pt idx="824">
                  <c:v>0.77437232819371615</c:v>
                </c:pt>
                <c:pt idx="825">
                  <c:v>0.78450958170486107</c:v>
                </c:pt>
                <c:pt idx="826">
                  <c:v>0.78450958170486107</c:v>
                </c:pt>
                <c:pt idx="827">
                  <c:v>0.78450958170486107</c:v>
                </c:pt>
                <c:pt idx="828">
                  <c:v>0.78450958170486107</c:v>
                </c:pt>
                <c:pt idx="829">
                  <c:v>0.78450958170486107</c:v>
                </c:pt>
                <c:pt idx="830">
                  <c:v>0.78450958170486107</c:v>
                </c:pt>
                <c:pt idx="831">
                  <c:v>0.78450958170486107</c:v>
                </c:pt>
                <c:pt idx="832">
                  <c:v>0.78450958170486107</c:v>
                </c:pt>
                <c:pt idx="833">
                  <c:v>0.78450958170486107</c:v>
                </c:pt>
                <c:pt idx="834">
                  <c:v>0.78450958170486107</c:v>
                </c:pt>
                <c:pt idx="835">
                  <c:v>0.78450958170486107</c:v>
                </c:pt>
                <c:pt idx="836">
                  <c:v>0.78450958170486107</c:v>
                </c:pt>
                <c:pt idx="837">
                  <c:v>0.78450958170486107</c:v>
                </c:pt>
                <c:pt idx="838">
                  <c:v>0.78450958170486107</c:v>
                </c:pt>
                <c:pt idx="839">
                  <c:v>0.79437513641741042</c:v>
                </c:pt>
                <c:pt idx="840">
                  <c:v>0.79437513641741042</c:v>
                </c:pt>
                <c:pt idx="841">
                  <c:v>0.79437513641741042</c:v>
                </c:pt>
                <c:pt idx="842">
                  <c:v>0.79437513641741042</c:v>
                </c:pt>
                <c:pt idx="843">
                  <c:v>0.79437513641741042</c:v>
                </c:pt>
                <c:pt idx="844">
                  <c:v>0.79437513641741042</c:v>
                </c:pt>
                <c:pt idx="845">
                  <c:v>0.79437513641741042</c:v>
                </c:pt>
                <c:pt idx="846">
                  <c:v>0.79437513641741042</c:v>
                </c:pt>
                <c:pt idx="847">
                  <c:v>0.79437513641741042</c:v>
                </c:pt>
                <c:pt idx="848">
                  <c:v>0.80396513000356618</c:v>
                </c:pt>
                <c:pt idx="849">
                  <c:v>0.80396513000356618</c:v>
                </c:pt>
                <c:pt idx="850">
                  <c:v>0.80396513000356618</c:v>
                </c:pt>
                <c:pt idx="851">
                  <c:v>0.80396513000356618</c:v>
                </c:pt>
                <c:pt idx="852">
                  <c:v>0.80396513000356618</c:v>
                </c:pt>
                <c:pt idx="853">
                  <c:v>0.80396513000356618</c:v>
                </c:pt>
                <c:pt idx="854">
                  <c:v>0.80396513000356618</c:v>
                </c:pt>
                <c:pt idx="855">
                  <c:v>0.80396513000356618</c:v>
                </c:pt>
                <c:pt idx="856">
                  <c:v>0.80396513000356618</c:v>
                </c:pt>
                <c:pt idx="857">
                  <c:v>0.80396513000356618</c:v>
                </c:pt>
                <c:pt idx="858">
                  <c:v>0.80396513000356618</c:v>
                </c:pt>
                <c:pt idx="859">
                  <c:v>0.81327644685504896</c:v>
                </c:pt>
                <c:pt idx="860">
                  <c:v>0.81327644685504896</c:v>
                </c:pt>
                <c:pt idx="861">
                  <c:v>0.81327644685504896</c:v>
                </c:pt>
                <c:pt idx="862">
                  <c:v>0.81327644685504896</c:v>
                </c:pt>
                <c:pt idx="863">
                  <c:v>0.81327644685504896</c:v>
                </c:pt>
                <c:pt idx="864">
                  <c:v>0.81327644685504896</c:v>
                </c:pt>
                <c:pt idx="865">
                  <c:v>0.81327644685504896</c:v>
                </c:pt>
                <c:pt idx="866">
                  <c:v>0.81327644685504896</c:v>
                </c:pt>
                <c:pt idx="867">
                  <c:v>0.81327644685504896</c:v>
                </c:pt>
                <c:pt idx="868">
                  <c:v>0.82230670678004081</c:v>
                </c:pt>
                <c:pt idx="869">
                  <c:v>0.82230670678004081</c:v>
                </c:pt>
                <c:pt idx="870">
                  <c:v>0.82230670678004081</c:v>
                </c:pt>
                <c:pt idx="871">
                  <c:v>0.82230670678004081</c:v>
                </c:pt>
                <c:pt idx="872">
                  <c:v>0.82230670678004081</c:v>
                </c:pt>
                <c:pt idx="873">
                  <c:v>0.82230670678004081</c:v>
                </c:pt>
                <c:pt idx="874">
                  <c:v>0.82230670678004081</c:v>
                </c:pt>
                <c:pt idx="875">
                  <c:v>0.82230670678004081</c:v>
                </c:pt>
                <c:pt idx="876">
                  <c:v>0.82230670678004081</c:v>
                </c:pt>
                <c:pt idx="877">
                  <c:v>0.82230670678004081</c:v>
                </c:pt>
                <c:pt idx="878">
                  <c:v>0.83105425065568295</c:v>
                </c:pt>
                <c:pt idx="879">
                  <c:v>0.83105425065568295</c:v>
                </c:pt>
                <c:pt idx="880">
                  <c:v>0.83105425065568295</c:v>
                </c:pt>
                <c:pt idx="881">
                  <c:v>0.83105425065568295</c:v>
                </c:pt>
                <c:pt idx="882">
                  <c:v>0.83105425065568295</c:v>
                </c:pt>
                <c:pt idx="883">
                  <c:v>0.83105425065568295</c:v>
                </c:pt>
                <c:pt idx="884">
                  <c:v>0.83105425065568295</c:v>
                </c:pt>
                <c:pt idx="885">
                  <c:v>0.83105425065568295</c:v>
                </c:pt>
                <c:pt idx="886">
                  <c:v>0.83105425065568295</c:v>
                </c:pt>
                <c:pt idx="887">
                  <c:v>0.83105425065568295</c:v>
                </c:pt>
                <c:pt idx="888">
                  <c:v>0.83105425065568295</c:v>
                </c:pt>
                <c:pt idx="889">
                  <c:v>0.83105425065568295</c:v>
                </c:pt>
                <c:pt idx="890">
                  <c:v>0.83951812321380492</c:v>
                </c:pt>
                <c:pt idx="891">
                  <c:v>0.83951812321380492</c:v>
                </c:pt>
                <c:pt idx="892">
                  <c:v>0.83951812321380492</c:v>
                </c:pt>
                <c:pt idx="893">
                  <c:v>0.83951812321380492</c:v>
                </c:pt>
                <c:pt idx="894">
                  <c:v>0.83951812321380492</c:v>
                </c:pt>
                <c:pt idx="895">
                  <c:v>0.83951812321380492</c:v>
                </c:pt>
                <c:pt idx="896">
                  <c:v>0.83951812321380492</c:v>
                </c:pt>
                <c:pt idx="897">
                  <c:v>0.83951812321380492</c:v>
                </c:pt>
                <c:pt idx="898">
                  <c:v>0.84769805315238078</c:v>
                </c:pt>
                <c:pt idx="899">
                  <c:v>0.84769805315238078</c:v>
                </c:pt>
                <c:pt idx="900">
                  <c:v>0.84769805315238078</c:v>
                </c:pt>
                <c:pt idx="901">
                  <c:v>0.84769805315238078</c:v>
                </c:pt>
                <c:pt idx="902">
                  <c:v>0.85559443077685182</c:v>
                </c:pt>
                <c:pt idx="903">
                  <c:v>0.85559443077685182</c:v>
                </c:pt>
                <c:pt idx="904">
                  <c:v>0.85559443077685182</c:v>
                </c:pt>
                <c:pt idx="905">
                  <c:v>0.85559443077685182</c:v>
                </c:pt>
                <c:pt idx="906">
                  <c:v>0.85559443077685182</c:v>
                </c:pt>
                <c:pt idx="907">
                  <c:v>0.85559443077685182</c:v>
                </c:pt>
                <c:pt idx="908">
                  <c:v>0.85559443077685182</c:v>
                </c:pt>
                <c:pt idx="909">
                  <c:v>0.85559443077685182</c:v>
                </c:pt>
                <c:pt idx="910">
                  <c:v>0.85559443077685182</c:v>
                </c:pt>
                <c:pt idx="911">
                  <c:v>0.85559443077685182</c:v>
                </c:pt>
                <c:pt idx="912">
                  <c:v>0.85559443077685182</c:v>
                </c:pt>
                <c:pt idx="913">
                  <c:v>0.85559443077685182</c:v>
                </c:pt>
                <c:pt idx="914">
                  <c:v>0.86320828338582067</c:v>
                </c:pt>
                <c:pt idx="915">
                  <c:v>0.86320828338582067</c:v>
                </c:pt>
                <c:pt idx="916">
                  <c:v>0.86320828338582067</c:v>
                </c:pt>
                <c:pt idx="917">
                  <c:v>0.86320828338582067</c:v>
                </c:pt>
                <c:pt idx="918">
                  <c:v>0.86320828338582067</c:v>
                </c:pt>
                <c:pt idx="919">
                  <c:v>0.86320828338582067</c:v>
                </c:pt>
                <c:pt idx="920">
                  <c:v>0.86320828338582067</c:v>
                </c:pt>
                <c:pt idx="921">
                  <c:v>0.8705412486228542</c:v>
                </c:pt>
                <c:pt idx="922">
                  <c:v>0.8705412486228542</c:v>
                </c:pt>
                <c:pt idx="923">
                  <c:v>0.8705412486228542</c:v>
                </c:pt>
                <c:pt idx="924">
                  <c:v>0.8705412486228542</c:v>
                </c:pt>
                <c:pt idx="925">
                  <c:v>0.8705412486228542</c:v>
                </c:pt>
                <c:pt idx="926">
                  <c:v>0.87759554602246359</c:v>
                </c:pt>
                <c:pt idx="927">
                  <c:v>0.87759554602246359</c:v>
                </c:pt>
                <c:pt idx="928">
                  <c:v>0.87759554602246359</c:v>
                </c:pt>
                <c:pt idx="929">
                  <c:v>0.88437394698198424</c:v>
                </c:pt>
                <c:pt idx="930">
                  <c:v>0.88437394698198424</c:v>
                </c:pt>
                <c:pt idx="931">
                  <c:v>0.88437394698198424</c:v>
                </c:pt>
                <c:pt idx="932">
                  <c:v>0.88437394698198424</c:v>
                </c:pt>
                <c:pt idx="933">
                  <c:v>0.88437394698198424</c:v>
                </c:pt>
                <c:pt idx="934">
                  <c:v>0.88437394698198424</c:v>
                </c:pt>
                <c:pt idx="935">
                  <c:v>0.88437394698198424</c:v>
                </c:pt>
                <c:pt idx="936">
                  <c:v>0.88437394698198424</c:v>
                </c:pt>
                <c:pt idx="937">
                  <c:v>0.88437394698198424</c:v>
                </c:pt>
                <c:pt idx="938">
                  <c:v>0.89087974339266518</c:v>
                </c:pt>
                <c:pt idx="939">
                  <c:v>0.89087974339266518</c:v>
                </c:pt>
                <c:pt idx="940">
                  <c:v>0.89087974339266518</c:v>
                </c:pt>
                <c:pt idx="941">
                  <c:v>0.89087974339266518</c:v>
                </c:pt>
                <c:pt idx="942">
                  <c:v>0.89087974339266518</c:v>
                </c:pt>
                <c:pt idx="943">
                  <c:v>0.89087974339266518</c:v>
                </c:pt>
                <c:pt idx="944">
                  <c:v>0.89087974339266518</c:v>
                </c:pt>
                <c:pt idx="945">
                  <c:v>0.89711671516347558</c:v>
                </c:pt>
                <c:pt idx="946">
                  <c:v>0.89711671516347558</c:v>
                </c:pt>
                <c:pt idx="947">
                  <c:v>0.89711671516347558</c:v>
                </c:pt>
                <c:pt idx="948">
                  <c:v>0.90308909686841754</c:v>
                </c:pt>
                <c:pt idx="949">
                  <c:v>0.90308909686841754</c:v>
                </c:pt>
                <c:pt idx="950">
                  <c:v>0.90308909686841754</c:v>
                </c:pt>
                <c:pt idx="951">
                  <c:v>0.90308909686841754</c:v>
                </c:pt>
                <c:pt idx="952">
                  <c:v>0.90308909686841754</c:v>
                </c:pt>
                <c:pt idx="953">
                  <c:v>0.90880154374537025</c:v>
                </c:pt>
                <c:pt idx="954">
                  <c:v>0.90880154374537025</c:v>
                </c:pt>
                <c:pt idx="955">
                  <c:v>0.90880154374537025</c:v>
                </c:pt>
                <c:pt idx="956">
                  <c:v>0.91425909726796217</c:v>
                </c:pt>
                <c:pt idx="957">
                  <c:v>0.91946715050578098</c:v>
                </c:pt>
                <c:pt idx="958">
                  <c:v>0.91946715050578098</c:v>
                </c:pt>
                <c:pt idx="959">
                  <c:v>0.91946715050578098</c:v>
                </c:pt>
                <c:pt idx="960">
                  <c:v>0.91946715050578098</c:v>
                </c:pt>
                <c:pt idx="961">
                  <c:v>0.92443141347954982</c:v>
                </c:pt>
                <c:pt idx="962">
                  <c:v>0.92915787870822453</c:v>
                </c:pt>
                <c:pt idx="963">
                  <c:v>0.93365278713437716</c:v>
                </c:pt>
                <c:pt idx="964">
                  <c:v>0.93365278713437716</c:v>
                </c:pt>
                <c:pt idx="965">
                  <c:v>0.93365278713437716</c:v>
                </c:pt>
                <c:pt idx="966">
                  <c:v>0.93365278713437716</c:v>
                </c:pt>
                <c:pt idx="967">
                  <c:v>0.93365278713437716</c:v>
                </c:pt>
                <c:pt idx="968">
                  <c:v>0.93792259460259375</c:v>
                </c:pt>
                <c:pt idx="969">
                  <c:v>0.93792259460259375</c:v>
                </c:pt>
                <c:pt idx="970">
                  <c:v>0.93792259460259375</c:v>
                </c:pt>
                <c:pt idx="971">
                  <c:v>0.94197393905289095</c:v>
                </c:pt>
                <c:pt idx="972">
                  <c:v>0.94197393905289095</c:v>
                </c:pt>
                <c:pt idx="973">
                  <c:v>0.94197393905289095</c:v>
                </c:pt>
                <c:pt idx="974">
                  <c:v>0.94197393905289095</c:v>
                </c:pt>
                <c:pt idx="975">
                  <c:v>0.9458136085781722</c:v>
                </c:pt>
                <c:pt idx="976">
                  <c:v>0.9458136085781722</c:v>
                </c:pt>
                <c:pt idx="977">
                  <c:v>0.9458136085781722</c:v>
                </c:pt>
                <c:pt idx="978">
                  <c:v>0.9458136085781722</c:v>
                </c:pt>
                <c:pt idx="979">
                  <c:v>0.94944851048122392</c:v>
                </c:pt>
                <c:pt idx="980">
                  <c:v>0.95288564145246657</c:v>
                </c:pt>
                <c:pt idx="981">
                  <c:v>0.95613205897585862</c:v>
                </c:pt>
                <c:pt idx="982">
                  <c:v>0.95613205897585862</c:v>
                </c:pt>
                <c:pt idx="983">
                  <c:v>0.95613205897585862</c:v>
                </c:pt>
                <c:pt idx="984">
                  <c:v>0.9591948540556221</c:v>
                </c:pt>
                <c:pt idx="985">
                  <c:v>0.9591948540556221</c:v>
                </c:pt>
                <c:pt idx="986">
                  <c:v>0.9591948540556221</c:v>
                </c:pt>
                <c:pt idx="987">
                  <c:v>0.9591948540556221</c:v>
                </c:pt>
                <c:pt idx="988">
                  <c:v>0.96208112534289703</c:v>
                </c:pt>
                <c:pt idx="989">
                  <c:v>0.96208112534289703</c:v>
                </c:pt>
                <c:pt idx="990">
                  <c:v>0.96208112534289703</c:v>
                </c:pt>
                <c:pt idx="991">
                  <c:v>0.96208112534289703</c:v>
                </c:pt>
                <c:pt idx="992">
                  <c:v>0.96479795472689167</c:v>
                </c:pt>
                <c:pt idx="993">
                  <c:v>0.9673523844416434</c:v>
                </c:pt>
                <c:pt idx="994">
                  <c:v>0.9673523844416434</c:v>
                </c:pt>
                <c:pt idx="995">
                  <c:v>0.9673523844416434</c:v>
                </c:pt>
                <c:pt idx="996">
                  <c:v>0.96975139572634783</c:v>
                </c:pt>
                <c:pt idx="997">
                  <c:v>0.97200188906421592</c:v>
                </c:pt>
                <c:pt idx="998">
                  <c:v>0.97200188906421592</c:v>
                </c:pt>
                <c:pt idx="999">
                  <c:v>0.99354615074399832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01-4D30-889C-E9751428B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15696"/>
        <c:axId val="323096800"/>
      </c:scatterChart>
      <c:valAx>
        <c:axId val="15111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Wartości posortowane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3096800"/>
        <c:crosses val="autoZero"/>
        <c:crossBetween val="midCat"/>
      </c:valAx>
      <c:valAx>
        <c:axId val="32309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Prawdopodobieństwo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1115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66675</xdr:colOff>
      <xdr:row>3</xdr:row>
      <xdr:rowOff>147637</xdr:rowOff>
    </xdr:from>
    <xdr:to>
      <xdr:col>22</xdr:col>
      <xdr:colOff>371475</xdr:colOff>
      <xdr:row>18</xdr:row>
      <xdr:rowOff>33337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4121ECF-D0F5-4585-AF45-146E8380F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38100</xdr:colOff>
      <xdr:row>18</xdr:row>
      <xdr:rowOff>128587</xdr:rowOff>
    </xdr:from>
    <xdr:to>
      <xdr:col>22</xdr:col>
      <xdr:colOff>342900</xdr:colOff>
      <xdr:row>33</xdr:row>
      <xdr:rowOff>14287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C453280-9AC2-4E5B-A316-D8C0A2414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19049</xdr:colOff>
      <xdr:row>33</xdr:row>
      <xdr:rowOff>166686</xdr:rowOff>
    </xdr:from>
    <xdr:to>
      <xdr:col>24</xdr:col>
      <xdr:colOff>466724</xdr:colOff>
      <xdr:row>54</xdr:row>
      <xdr:rowOff>19050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52010A6-172C-424A-B56F-020A1A9EE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FB74235D-99CE-44F6-ABA3-129489C223F0}" autoFormatId="16" applyNumberFormats="0" applyBorderFormats="0" applyFontFormats="0" applyPatternFormats="0" applyAlignmentFormats="0" applyWidthHeightFormats="0">
  <queryTableRefresh nextId="5" unboundColumnsRight="3">
    <queryTableFields count="4">
      <queryTableField id="1" name="Column1" tableColumnId="1"/>
      <queryTableField id="2" dataBound="0" tableColumnId="2"/>
      <queryTableField id="3" dataBound="0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A4B28-A7BF-48DF-B9D8-30DF47CD0905}" name="dane_7" displayName="dane_7" ref="A1:D1002" tableType="queryTable" totalsRowShown="0" headerRowDxfId="2" dataDxfId="1">
  <autoFilter ref="A1:D1002" xr:uid="{F278F7C8-B8ED-4FA7-B490-1ECC85A8FF3F}"/>
  <sortState ref="A2:B1002">
    <sortCondition ref="B1:B1002"/>
  </sortState>
  <tableColumns count="4">
    <tableColumn id="1" xr3:uid="{CD3D33AC-3BFB-4BDC-BDF2-09DA715BC815}" uniqueName="1" name="Dane wejściowe" queryTableFieldId="1" dataDxfId="5"/>
    <tableColumn id="2" xr3:uid="{009108A0-AA52-4021-9251-773F54600094}" uniqueName="2" name="Dane wejściowe posortowane" queryTableFieldId="2" dataDxfId="4"/>
    <tableColumn id="3" xr3:uid="{B98578A8-29FA-470D-AE62-77B48D02475A}" uniqueName="3" name="Logarytm naturalny" queryTableFieldId="3" dataDxfId="3">
      <calculatedColumnFormula>LN(dane_7[[#This Row],[Dane wejściowe posortowane]])</calculatedColumnFormula>
    </tableColumn>
    <tableColumn id="4" xr3:uid="{8CA14B3B-D9B4-4D32-BE81-367B231A218D}" uniqueName="4" name="Nr próbki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025B2-6D07-4A06-8325-4B00D522A000}">
  <dimension ref="A1:M1002"/>
  <sheetViews>
    <sheetView tabSelected="1" topLeftCell="J1" workbookViewId="0">
      <selection activeCell="O12" sqref="O12"/>
    </sheetView>
  </sheetViews>
  <sheetFormatPr defaultRowHeight="15" x14ac:dyDescent="0.25"/>
  <cols>
    <col min="1" max="1" width="20.140625" style="1" bestFit="1" customWidth="1"/>
    <col min="2" max="2" width="30.42578125" style="1" bestFit="1" customWidth="1"/>
    <col min="3" max="3" width="22.85546875" style="1" bestFit="1" customWidth="1"/>
    <col min="4" max="5" width="9.140625" style="1"/>
    <col min="6" max="6" width="22" style="1" bestFit="1" customWidth="1"/>
    <col min="7" max="7" width="9.140625" style="1"/>
    <col min="8" max="8" width="23.28515625" style="1" bestFit="1" customWidth="1"/>
    <col min="9" max="9" width="15.28515625" style="1" bestFit="1" customWidth="1"/>
    <col min="10" max="10" width="18.5703125" style="1" bestFit="1" customWidth="1"/>
    <col min="11" max="11" width="15.28515625" style="1" bestFit="1" customWidth="1"/>
    <col min="12" max="12" width="17.42578125" style="1" bestFit="1" customWidth="1"/>
    <col min="13" max="1638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4</v>
      </c>
      <c r="F1" s="1" t="s">
        <v>3</v>
      </c>
      <c r="G1" s="1">
        <f>COUNT(A:A)</f>
        <v>1000</v>
      </c>
      <c r="H1" s="1" t="s">
        <v>6</v>
      </c>
      <c r="I1" s="1" t="s">
        <v>7</v>
      </c>
      <c r="J1" s="1" t="s">
        <v>8</v>
      </c>
      <c r="M1" s="1" t="s">
        <v>13</v>
      </c>
    </row>
    <row r="2" spans="1:13" x14ac:dyDescent="0.25">
      <c r="A2" s="1">
        <v>390</v>
      </c>
      <c r="B2" s="1">
        <v>390</v>
      </c>
      <c r="C2" s="1">
        <f>LN(dane_7[[#This Row],[Dane wejściowe posortowane]])</f>
        <v>5.9661467391236922</v>
      </c>
      <c r="D2" s="1">
        <v>1</v>
      </c>
      <c r="F2" s="1" t="s">
        <v>5</v>
      </c>
      <c r="G2" s="1">
        <f>dane_7[[#This Row],[Nr próbki]]/($G$1+1)</f>
        <v>9.99000999000999E-4</v>
      </c>
      <c r="H2" s="1">
        <f>(dane_7[[#This Row],[Logarytm naturalny]]-$I$2)/$J$2</f>
        <v>-3.6593638419550567</v>
      </c>
      <c r="I2" s="1">
        <f>AVERAGE(C2:C1001)</f>
        <v>5.9927211976340473</v>
      </c>
      <c r="J2" s="1">
        <f>STDEV(C2:C1001)</f>
        <v>7.2620432561735669E-3</v>
      </c>
      <c r="M2" s="1">
        <f>LOGNORMDIST(B2:B1001,$I$2,$J$2)</f>
        <v>1.2642107045436767E-4</v>
      </c>
    </row>
    <row r="3" spans="1:13" x14ac:dyDescent="0.25">
      <c r="A3" s="1">
        <v>390.6</v>
      </c>
      <c r="B3" s="1">
        <v>390.6</v>
      </c>
      <c r="C3" s="1">
        <f>LN(dane_7[[#This Row],[Dane wejściowe posortowane]])</f>
        <v>5.9676840184425783</v>
      </c>
      <c r="D3" s="1">
        <v>2</v>
      </c>
      <c r="G3" s="1">
        <f>dane_7[[#This Row],[Nr próbki]]/($G$1+1)</f>
        <v>1.998001998001998E-3</v>
      </c>
      <c r="H3" s="1">
        <f>(dane_7[[#This Row],[Logarytm naturalny]]-$I$2)/$J$2</f>
        <v>-3.4476769565073173</v>
      </c>
      <c r="M3" s="1">
        <f t="shared" ref="M3:M66" si="0">LOGNORMDIST(B3:B1002,$I$2,$J$2)</f>
        <v>2.8271493849134236E-4</v>
      </c>
    </row>
    <row r="4" spans="1:13" x14ac:dyDescent="0.25">
      <c r="A4" s="1">
        <v>390.7</v>
      </c>
      <c r="B4" s="1">
        <v>390.7</v>
      </c>
      <c r="C4" s="1">
        <f>LN(dane_7[[#This Row],[Dane wejściowe posortowane]])</f>
        <v>5.9679400020610247</v>
      </c>
      <c r="D4" s="1">
        <v>3</v>
      </c>
      <c r="G4" s="1">
        <f>dane_7[[#This Row],[Nr próbki]]/($G$1+1)</f>
        <v>2.997002997002997E-3</v>
      </c>
      <c r="H4" s="1">
        <f>(dane_7[[#This Row],[Logarytm naturalny]]-$I$2)/$J$2</f>
        <v>-3.412427425567282</v>
      </c>
      <c r="M4" s="1">
        <f t="shared" si="0"/>
        <v>3.2193534528884409E-4</v>
      </c>
    </row>
    <row r="5" spans="1:13" x14ac:dyDescent="0.25">
      <c r="A5" s="1">
        <v>391.2</v>
      </c>
      <c r="B5" s="1">
        <v>391.2</v>
      </c>
      <c r="C5" s="1">
        <f>LN(dane_7[[#This Row],[Dane wejściowe posortowane]])</f>
        <v>5.9692189381606626</v>
      </c>
      <c r="D5" s="1">
        <v>4</v>
      </c>
      <c r="G5" s="1">
        <f>dane_7[[#This Row],[Nr próbki]]/($G$1+1)</f>
        <v>3.996003996003996E-3</v>
      </c>
      <c r="H5" s="1">
        <f>(dane_7[[#This Row],[Logarytm naturalny]]-$I$2)/$J$2</f>
        <v>-3.2363149934978814</v>
      </c>
      <c r="M5" s="1">
        <f t="shared" si="0"/>
        <v>6.054184377299889E-4</v>
      </c>
    </row>
    <row r="6" spans="1:13" x14ac:dyDescent="0.25">
      <c r="A6" s="1">
        <v>391.3</v>
      </c>
      <c r="B6" s="1">
        <v>391.3</v>
      </c>
      <c r="C6" s="1">
        <f>LN(dane_7[[#This Row],[Dane wejściowe posortowane]])</f>
        <v>5.9694745292163667</v>
      </c>
      <c r="D6" s="1">
        <v>5</v>
      </c>
      <c r="G6" s="1">
        <f>dane_7[[#This Row],[Nr próbki]]/($G$1+1)</f>
        <v>4.995004995004995E-3</v>
      </c>
      <c r="H6" s="1">
        <f>(dane_7[[#This Row],[Logarytm naturalny]]-$I$2)/$J$2</f>
        <v>-3.2011195193471633</v>
      </c>
      <c r="J6"/>
      <c r="K6" s="2" t="s">
        <v>10</v>
      </c>
      <c r="L6" s="2" t="s">
        <v>11</v>
      </c>
      <c r="M6" s="1">
        <f t="shared" si="0"/>
        <v>6.8447368075532083E-4</v>
      </c>
    </row>
    <row r="7" spans="1:13" x14ac:dyDescent="0.25">
      <c r="A7" s="1">
        <v>391.6</v>
      </c>
      <c r="B7" s="1">
        <v>391.6</v>
      </c>
      <c r="C7" s="1">
        <f>LN(dane_7[[#This Row],[Dane wejściowe posortowane]])</f>
        <v>5.9702409106563552</v>
      </c>
      <c r="D7" s="1">
        <v>6</v>
      </c>
      <c r="G7" s="1">
        <f>dane_7[[#This Row],[Nr próbki]]/($G$1+1)</f>
        <v>5.994005994005994E-3</v>
      </c>
      <c r="H7" s="1">
        <f>(dane_7[[#This Row],[Logarytm naturalny]]-$I$2)/$J$2</f>
        <v>-3.0955870386177189</v>
      </c>
      <c r="J7" s="3" t="s">
        <v>12</v>
      </c>
      <c r="K7" s="4">
        <f>-(-825.21/137.7)</f>
        <v>5.9928104575163408</v>
      </c>
      <c r="L7" s="4">
        <f>AVERAGE(C2:C1001)</f>
        <v>5.9927211976340473</v>
      </c>
      <c r="M7" s="1">
        <f t="shared" si="0"/>
        <v>9.8211857259650421E-4</v>
      </c>
    </row>
    <row r="8" spans="1:13" x14ac:dyDescent="0.25">
      <c r="A8" s="1">
        <v>391.7</v>
      </c>
      <c r="B8" s="1">
        <v>391.7</v>
      </c>
      <c r="C8" s="1">
        <f>LN(dane_7[[#This Row],[Dane wejściowe posortowane]])</f>
        <v>5.9704962406717854</v>
      </c>
      <c r="D8" s="1">
        <v>7</v>
      </c>
      <c r="G8" s="1">
        <f>dane_7[[#This Row],[Nr próbki]]/($G$1+1)</f>
        <v>6.993006993006993E-3</v>
      </c>
      <c r="H8" s="1">
        <f>(dane_7[[#This Row],[Logarytm naturalny]]-$I$2)/$J$2</f>
        <v>-3.0604275103109781</v>
      </c>
      <c r="J8" s="5" t="s">
        <v>9</v>
      </c>
      <c r="K8" s="4">
        <f>1/137.7</f>
        <v>7.2621641249092234E-3</v>
      </c>
      <c r="L8" s="4">
        <f>STDEV(C2:C1001)</f>
        <v>7.2620432561735669E-3</v>
      </c>
      <c r="M8" s="1">
        <f t="shared" si="0"/>
        <v>1.1051062825093464E-3</v>
      </c>
    </row>
    <row r="9" spans="1:13" x14ac:dyDescent="0.25">
      <c r="A9" s="1">
        <v>391.8</v>
      </c>
      <c r="B9" s="1">
        <v>391.8</v>
      </c>
      <c r="C9" s="1">
        <f>LN(dane_7[[#This Row],[Dane wejściowe posortowane]])</f>
        <v>5.9707515055104405</v>
      </c>
      <c r="D9" s="1">
        <v>8</v>
      </c>
      <c r="G9" s="1">
        <f>dane_7[[#This Row],[Nr próbki]]/($G$1+1)</f>
        <v>7.992007992007992E-3</v>
      </c>
      <c r="H9" s="1">
        <f>(dane_7[[#This Row],[Logarytm naturalny]]-$I$2)/$J$2</f>
        <v>-3.0252769569955436</v>
      </c>
      <c r="M9" s="1">
        <f t="shared" si="0"/>
        <v>1.242027727687059E-3</v>
      </c>
    </row>
    <row r="10" spans="1:13" x14ac:dyDescent="0.25">
      <c r="A10" s="1">
        <v>391.8</v>
      </c>
      <c r="B10" s="1">
        <v>391.8</v>
      </c>
      <c r="C10" s="1">
        <f>LN(dane_7[[#This Row],[Dane wejściowe posortowane]])</f>
        <v>5.9707515055104405</v>
      </c>
      <c r="D10" s="1">
        <v>9</v>
      </c>
      <c r="G10" s="1">
        <f>dane_7[[#This Row],[Nr próbki]]/($G$1+1)</f>
        <v>8.9910089910089919E-3</v>
      </c>
      <c r="H10" s="1">
        <f>(dane_7[[#This Row],[Logarytm naturalny]]-$I$2)/$J$2</f>
        <v>-3.0252769569955436</v>
      </c>
      <c r="M10" s="1">
        <f t="shared" si="0"/>
        <v>1.242027727687059E-3</v>
      </c>
    </row>
    <row r="11" spans="1:13" x14ac:dyDescent="0.25">
      <c r="A11" s="1">
        <v>391.8</v>
      </c>
      <c r="B11" s="1">
        <v>391.8</v>
      </c>
      <c r="C11" s="1">
        <f>LN(dane_7[[#This Row],[Dane wejściowe posortowane]])</f>
        <v>5.9707515055104405</v>
      </c>
      <c r="D11" s="1">
        <v>10</v>
      </c>
      <c r="G11" s="1">
        <f>dane_7[[#This Row],[Nr próbki]]/($G$1+1)</f>
        <v>9.99000999000999E-3</v>
      </c>
      <c r="H11" s="1">
        <f>(dane_7[[#This Row],[Logarytm naturalny]]-$I$2)/$J$2</f>
        <v>-3.0252769569955436</v>
      </c>
      <c r="M11" s="1">
        <f t="shared" si="0"/>
        <v>1.242027727687059E-3</v>
      </c>
    </row>
    <row r="12" spans="1:13" x14ac:dyDescent="0.25">
      <c r="A12" s="1">
        <v>392</v>
      </c>
      <c r="B12" s="1">
        <v>392</v>
      </c>
      <c r="C12" s="1">
        <f>LN(dane_7[[#This Row],[Dane wejściowe posortowane]])</f>
        <v>5.9712618397904622</v>
      </c>
      <c r="D12" s="1">
        <v>11</v>
      </c>
      <c r="G12" s="1">
        <f>dane_7[[#This Row],[Nr próbki]]/($G$1+1)</f>
        <v>1.098901098901099E-2</v>
      </c>
      <c r="H12" s="1">
        <f>(dane_7[[#This Row],[Logarytm naturalny]]-$I$2)/$J$2</f>
        <v>-2.9550027570191344</v>
      </c>
      <c r="M12" s="1">
        <f t="shared" si="0"/>
        <v>1.5633312841179601E-3</v>
      </c>
    </row>
    <row r="13" spans="1:13" x14ac:dyDescent="0.25">
      <c r="A13" s="1">
        <v>392</v>
      </c>
      <c r="B13" s="1">
        <v>392</v>
      </c>
      <c r="C13" s="1">
        <f>LN(dane_7[[#This Row],[Dane wejściowe posortowane]])</f>
        <v>5.9712618397904622</v>
      </c>
      <c r="D13" s="1">
        <v>12</v>
      </c>
      <c r="G13" s="1">
        <f>dane_7[[#This Row],[Nr próbki]]/($G$1+1)</f>
        <v>1.1988011988011988E-2</v>
      </c>
      <c r="H13" s="1">
        <f>(dane_7[[#This Row],[Logarytm naturalny]]-$I$2)/$J$2</f>
        <v>-2.9550027570191344</v>
      </c>
      <c r="M13" s="1">
        <f t="shared" si="0"/>
        <v>1.5633312841179601E-3</v>
      </c>
    </row>
    <row r="14" spans="1:13" x14ac:dyDescent="0.25">
      <c r="A14" s="1">
        <v>392.1</v>
      </c>
      <c r="B14" s="1">
        <v>392.1</v>
      </c>
      <c r="C14" s="1">
        <f>LN(dane_7[[#This Row],[Dane wejściowe posortowane]])</f>
        <v>5.9715169092982858</v>
      </c>
      <c r="D14" s="1">
        <v>13</v>
      </c>
      <c r="G14" s="1">
        <f>dane_7[[#This Row],[Nr próbki]]/($G$1+1)</f>
        <v>1.2987012987012988E-2</v>
      </c>
      <c r="H14" s="1">
        <f>(dane_7[[#This Row],[Logarytm naturalny]]-$I$2)/$J$2</f>
        <v>-2.9198791012068703</v>
      </c>
      <c r="M14" s="1">
        <f t="shared" si="0"/>
        <v>1.7508360141732836E-3</v>
      </c>
    </row>
    <row r="15" spans="1:13" x14ac:dyDescent="0.25">
      <c r="A15" s="1">
        <v>392.2</v>
      </c>
      <c r="B15" s="1">
        <v>392.2</v>
      </c>
      <c r="C15" s="1">
        <f>LN(dane_7[[#This Row],[Dane wejściowe posortowane]])</f>
        <v>5.9717719137622458</v>
      </c>
      <c r="D15" s="1">
        <v>14</v>
      </c>
      <c r="G15" s="1">
        <f>dane_7[[#This Row],[Nr próbki]]/($G$1+1)</f>
        <v>1.3986013986013986E-2</v>
      </c>
      <c r="H15" s="1">
        <f>(dane_7[[#This Row],[Logarytm naturalny]]-$I$2)/$J$2</f>
        <v>-2.8847644020836998</v>
      </c>
      <c r="M15" s="1">
        <f t="shared" si="0"/>
        <v>1.9585333973354121E-3</v>
      </c>
    </row>
    <row r="16" spans="1:13" x14ac:dyDescent="0.25">
      <c r="A16" s="1">
        <v>392.3</v>
      </c>
      <c r="B16" s="1">
        <v>392.3</v>
      </c>
      <c r="C16" s="1">
        <f>LN(dane_7[[#This Row],[Dane wejściowe posortowane]])</f>
        <v>5.9720268532155067</v>
      </c>
      <c r="D16" s="1">
        <v>15</v>
      </c>
      <c r="G16" s="1">
        <f>dane_7[[#This Row],[Nr próbki]]/($G$1+1)</f>
        <v>1.4985014985014986E-2</v>
      </c>
      <c r="H16" s="1">
        <f>(dane_7[[#This Row],[Logarytm naturalny]]-$I$2)/$J$2</f>
        <v>-2.8496586550827838</v>
      </c>
      <c r="M16" s="1">
        <f t="shared" si="0"/>
        <v>2.188308580340166E-3</v>
      </c>
    </row>
    <row r="17" spans="1:13" x14ac:dyDescent="0.25">
      <c r="A17" s="1">
        <v>392.3</v>
      </c>
      <c r="B17" s="1">
        <v>392.3</v>
      </c>
      <c r="C17" s="1">
        <f>LN(dane_7[[#This Row],[Dane wejściowe posortowane]])</f>
        <v>5.9720268532155067</v>
      </c>
      <c r="D17" s="1">
        <v>16</v>
      </c>
      <c r="G17" s="1">
        <f>dane_7[[#This Row],[Nr próbki]]/($G$1+1)</f>
        <v>1.5984015984015984E-2</v>
      </c>
      <c r="H17" s="1">
        <f>(dane_7[[#This Row],[Logarytm naturalny]]-$I$2)/$J$2</f>
        <v>-2.8496586550827838</v>
      </c>
      <c r="M17" s="1">
        <f t="shared" si="0"/>
        <v>2.188308580340166E-3</v>
      </c>
    </row>
    <row r="18" spans="1:13" x14ac:dyDescent="0.25">
      <c r="A18" s="1">
        <v>392.4</v>
      </c>
      <c r="B18" s="1">
        <v>392.4</v>
      </c>
      <c r="C18" s="1">
        <f>LN(dane_7[[#This Row],[Dane wejściowe posortowane]])</f>
        <v>5.9722817276912084</v>
      </c>
      <c r="D18" s="1">
        <v>17</v>
      </c>
      <c r="G18" s="1">
        <f>dane_7[[#This Row],[Nr próbki]]/($G$1+1)</f>
        <v>1.6983016983016984E-2</v>
      </c>
      <c r="H18" s="1">
        <f>(dane_7[[#This Row],[Logarytm naturalny]]-$I$2)/$J$2</f>
        <v>-2.8145618556407075</v>
      </c>
      <c r="M18" s="1">
        <f t="shared" si="0"/>
        <v>2.4421888381374831E-3</v>
      </c>
    </row>
    <row r="19" spans="1:13" x14ac:dyDescent="0.25">
      <c r="A19" s="1">
        <v>392.4</v>
      </c>
      <c r="B19" s="1">
        <v>392.4</v>
      </c>
      <c r="C19" s="1">
        <f>LN(dane_7[[#This Row],[Dane wejściowe posortowane]])</f>
        <v>5.9722817276912084</v>
      </c>
      <c r="D19" s="1">
        <v>18</v>
      </c>
      <c r="G19" s="1">
        <f>dane_7[[#This Row],[Nr próbki]]/($G$1+1)</f>
        <v>1.7982017982017984E-2</v>
      </c>
      <c r="H19" s="1">
        <f>(dane_7[[#This Row],[Logarytm naturalny]]-$I$2)/$J$2</f>
        <v>-2.8145618556407075</v>
      </c>
      <c r="M19" s="1">
        <f t="shared" si="0"/>
        <v>2.4421888381374831E-3</v>
      </c>
    </row>
    <row r="20" spans="1:13" x14ac:dyDescent="0.25">
      <c r="A20" s="1">
        <v>392.5</v>
      </c>
      <c r="B20" s="1">
        <v>392.5</v>
      </c>
      <c r="C20" s="1">
        <f>LN(dane_7[[#This Row],[Dane wejściowe posortowane]])</f>
        <v>5.9725365372224628</v>
      </c>
      <c r="D20" s="1">
        <v>19</v>
      </c>
      <c r="G20" s="1">
        <f>dane_7[[#This Row],[Nr próbki]]/($G$1+1)</f>
        <v>1.898101898101898E-2</v>
      </c>
      <c r="H20" s="1">
        <f>(dane_7[[#This Row],[Logarytm naturalny]]-$I$2)/$J$2</f>
        <v>-2.7794739991978483</v>
      </c>
      <c r="M20" s="1">
        <f t="shared" si="0"/>
        <v>2.7223506060985079E-3</v>
      </c>
    </row>
    <row r="21" spans="1:13" x14ac:dyDescent="0.25">
      <c r="A21" s="1">
        <v>392.7</v>
      </c>
      <c r="B21" s="1">
        <v>392.7</v>
      </c>
      <c r="C21" s="1">
        <f>LN(dane_7[[#This Row],[Dane wejściowe posortowane]])</f>
        <v>5.9730459615839635</v>
      </c>
      <c r="D21" s="1">
        <v>20</v>
      </c>
      <c r="G21" s="1">
        <f>dane_7[[#This Row],[Nr próbki]]/($G$1+1)</f>
        <v>1.998001998001998E-2</v>
      </c>
      <c r="H21" s="1">
        <f>(dane_7[[#This Row],[Logarytm naturalny]]-$I$2)/$J$2</f>
        <v>-2.7093250970871883</v>
      </c>
      <c r="M21" s="1">
        <f t="shared" si="0"/>
        <v>3.3710120934773852E-3</v>
      </c>
    </row>
    <row r="22" spans="1:13" x14ac:dyDescent="0.25">
      <c r="A22" s="1">
        <v>392.7</v>
      </c>
      <c r="B22" s="1">
        <v>392.7</v>
      </c>
      <c r="C22" s="1">
        <f>LN(dane_7[[#This Row],[Dane wejściowe posortowane]])</f>
        <v>5.9730459615839635</v>
      </c>
      <c r="D22" s="1">
        <v>21</v>
      </c>
      <c r="G22" s="1">
        <f>dane_7[[#This Row],[Nr próbki]]/($G$1+1)</f>
        <v>2.097902097902098E-2</v>
      </c>
      <c r="H22" s="1">
        <f>(dane_7[[#This Row],[Logarytm naturalny]]-$I$2)/$J$2</f>
        <v>-2.7093250970871883</v>
      </c>
      <c r="M22" s="1">
        <f t="shared" si="0"/>
        <v>3.3710120934773852E-3</v>
      </c>
    </row>
    <row r="23" spans="1:13" x14ac:dyDescent="0.25">
      <c r="A23" s="1">
        <v>392.8</v>
      </c>
      <c r="B23" s="1">
        <v>392.8</v>
      </c>
      <c r="C23" s="1">
        <f>LN(dane_7[[#This Row],[Dane wejściowe posortowane]])</f>
        <v>5.9733005764803107</v>
      </c>
      <c r="D23" s="1">
        <v>22</v>
      </c>
      <c r="G23" s="1">
        <f>dane_7[[#This Row],[Nr próbki]]/($G$1+1)</f>
        <v>2.197802197802198E-2</v>
      </c>
      <c r="H23" s="1">
        <f>(dane_7[[#This Row],[Logarytm naturalny]]-$I$2)/$J$2</f>
        <v>-2.6742640423171418</v>
      </c>
      <c r="M23" s="1">
        <f t="shared" si="0"/>
        <v>3.7446729451068193E-3</v>
      </c>
    </row>
    <row r="24" spans="1:13" x14ac:dyDescent="0.25">
      <c r="A24" s="1">
        <v>392.8</v>
      </c>
      <c r="B24" s="1">
        <v>392.8</v>
      </c>
      <c r="C24" s="1">
        <f>LN(dane_7[[#This Row],[Dane wejściowe posortowane]])</f>
        <v>5.9733005764803107</v>
      </c>
      <c r="D24" s="1">
        <v>23</v>
      </c>
      <c r="G24" s="1">
        <f>dane_7[[#This Row],[Nr próbki]]/($G$1+1)</f>
        <v>2.2977022977022976E-2</v>
      </c>
      <c r="H24" s="1">
        <f>(dane_7[[#This Row],[Logarytm naturalny]]-$I$2)/$J$2</f>
        <v>-2.6742640423171418</v>
      </c>
      <c r="M24" s="1">
        <f t="shared" si="0"/>
        <v>3.7446729451068193E-3</v>
      </c>
    </row>
    <row r="25" spans="1:13" x14ac:dyDescent="0.25">
      <c r="A25" s="1">
        <v>392.9</v>
      </c>
      <c r="B25" s="1">
        <v>392.9</v>
      </c>
      <c r="C25" s="1">
        <f>LN(dane_7[[#This Row],[Dane wejściowe posortowane]])</f>
        <v>5.9735551265644142</v>
      </c>
      <c r="D25" s="1">
        <v>24</v>
      </c>
      <c r="G25" s="1">
        <f>dane_7[[#This Row],[Nr próbki]]/($G$1+1)</f>
        <v>2.3976023976023976E-2</v>
      </c>
      <c r="H25" s="1">
        <f>(dane_7[[#This Row],[Logarytm naturalny]]-$I$2)/$J$2</f>
        <v>-2.639211912341576</v>
      </c>
      <c r="M25" s="1">
        <f t="shared" si="0"/>
        <v>4.1549509097090894E-3</v>
      </c>
    </row>
    <row r="26" spans="1:13" x14ac:dyDescent="0.25">
      <c r="A26" s="1">
        <v>393.1</v>
      </c>
      <c r="B26" s="1">
        <v>393.1</v>
      </c>
      <c r="C26" s="1">
        <f>LN(dane_7[[#This Row],[Dane wejściowe posortowane]])</f>
        <v>5.9740640324278145</v>
      </c>
      <c r="D26" s="1">
        <v>25</v>
      </c>
      <c r="G26" s="1">
        <f>dane_7[[#This Row],[Nr próbki]]/($G$1+1)</f>
        <v>2.4975024975024976E-2</v>
      </c>
      <c r="H26" s="1">
        <f>(dane_7[[#This Row],[Logarytm naturalny]]-$I$2)/$J$2</f>
        <v>-2.5691344086076762</v>
      </c>
      <c r="M26" s="1">
        <f t="shared" si="0"/>
        <v>5.0976452559599646E-3</v>
      </c>
    </row>
    <row r="27" spans="1:13" x14ac:dyDescent="0.25">
      <c r="A27" s="1">
        <v>393.1</v>
      </c>
      <c r="B27" s="1">
        <v>393.1</v>
      </c>
      <c r="C27" s="1">
        <f>LN(dane_7[[#This Row],[Dane wejściowe posortowane]])</f>
        <v>5.9740640324278145</v>
      </c>
      <c r="D27" s="1">
        <v>26</v>
      </c>
      <c r="G27" s="1">
        <f>dane_7[[#This Row],[Nr próbki]]/($G$1+1)</f>
        <v>2.5974025974025976E-2</v>
      </c>
      <c r="H27" s="1">
        <f>(dane_7[[#This Row],[Logarytm naturalny]]-$I$2)/$J$2</f>
        <v>-2.5691344086076762</v>
      </c>
      <c r="M27" s="1">
        <f t="shared" si="0"/>
        <v>5.0976452559599646E-3</v>
      </c>
    </row>
    <row r="28" spans="1:13" x14ac:dyDescent="0.25">
      <c r="A28" s="1">
        <v>393.1</v>
      </c>
      <c r="B28" s="1">
        <v>393.1</v>
      </c>
      <c r="C28" s="1">
        <f>LN(dane_7[[#This Row],[Dane wejściowe posortowane]])</f>
        <v>5.9740640324278145</v>
      </c>
      <c r="D28" s="1">
        <v>27</v>
      </c>
      <c r="G28" s="1">
        <f>dane_7[[#This Row],[Nr próbki]]/($G$1+1)</f>
        <v>2.6973026973026972E-2</v>
      </c>
      <c r="H28" s="1">
        <f>(dane_7[[#This Row],[Logarytm naturalny]]-$I$2)/$J$2</f>
        <v>-2.5691344086076762</v>
      </c>
      <c r="M28" s="1">
        <f t="shared" si="0"/>
        <v>5.0976452559599646E-3</v>
      </c>
    </row>
    <row r="29" spans="1:13" x14ac:dyDescent="0.25">
      <c r="A29" s="1">
        <v>393.4</v>
      </c>
      <c r="B29" s="1">
        <v>393.4</v>
      </c>
      <c r="C29" s="1">
        <f>LN(dane_7[[#This Row],[Dane wejściowe posortowane]])</f>
        <v>5.9748269059549584</v>
      </c>
      <c r="D29" s="1">
        <v>28</v>
      </c>
      <c r="G29" s="1">
        <f>dane_7[[#This Row],[Nr próbki]]/($G$1+1)</f>
        <v>2.7972027972027972E-2</v>
      </c>
      <c r="H29" s="1">
        <f>(dane_7[[#This Row],[Logarytm naturalny]]-$I$2)/$J$2</f>
        <v>-2.4640849755166032</v>
      </c>
      <c r="M29" s="1">
        <f t="shared" si="0"/>
        <v>6.8681770512539356E-3</v>
      </c>
    </row>
    <row r="30" spans="1:13" x14ac:dyDescent="0.25">
      <c r="A30" s="1">
        <v>393.5</v>
      </c>
      <c r="B30" s="1">
        <v>393.5</v>
      </c>
      <c r="C30" s="1">
        <f>LN(dane_7[[#This Row],[Dane wejściowe posortowane]])</f>
        <v>5.9750810678574577</v>
      </c>
      <c r="D30" s="1">
        <v>29</v>
      </c>
      <c r="G30" s="1">
        <f>dane_7[[#This Row],[Nr próbki]]/($G$1+1)</f>
        <v>2.8971028971028972E-2</v>
      </c>
      <c r="H30" s="1">
        <f>(dane_7[[#This Row],[Logarytm naturalny]]-$I$2)/$J$2</f>
        <v>-2.429086299037595</v>
      </c>
      <c r="M30" s="1">
        <f t="shared" si="0"/>
        <v>7.5684644249491787E-3</v>
      </c>
    </row>
    <row r="31" spans="1:13" x14ac:dyDescent="0.25">
      <c r="A31" s="1">
        <v>393.5</v>
      </c>
      <c r="B31" s="1">
        <v>393.5</v>
      </c>
      <c r="C31" s="1">
        <f>LN(dane_7[[#This Row],[Dane wejściowe posortowane]])</f>
        <v>5.9750810678574577</v>
      </c>
      <c r="D31" s="1">
        <v>30</v>
      </c>
      <c r="G31" s="1">
        <f>dane_7[[#This Row],[Nr próbki]]/($G$1+1)</f>
        <v>2.9970029970029972E-2</v>
      </c>
      <c r="H31" s="1">
        <f>(dane_7[[#This Row],[Logarytm naturalny]]-$I$2)/$J$2</f>
        <v>-2.429086299037595</v>
      </c>
      <c r="M31" s="1">
        <f t="shared" si="0"/>
        <v>7.5684644249491787E-3</v>
      </c>
    </row>
    <row r="32" spans="1:13" x14ac:dyDescent="0.25">
      <c r="A32" s="1">
        <v>393.6</v>
      </c>
      <c r="B32" s="1">
        <v>393.6</v>
      </c>
      <c r="C32" s="1">
        <f>LN(dane_7[[#This Row],[Dane wejściowe posortowane]])</f>
        <v>5.9753351651780982</v>
      </c>
      <c r="D32" s="1">
        <v>31</v>
      </c>
      <c r="G32" s="1">
        <f>dane_7[[#This Row],[Nr próbki]]/($G$1+1)</f>
        <v>3.0969030969030968E-2</v>
      </c>
      <c r="H32" s="1">
        <f>(dane_7[[#This Row],[Logarytm naturalny]]-$I$2)/$J$2</f>
        <v>-2.3940965156285801</v>
      </c>
      <c r="M32" s="1">
        <f t="shared" si="0"/>
        <v>8.3306819165682583E-3</v>
      </c>
    </row>
    <row r="33" spans="1:13" x14ac:dyDescent="0.25">
      <c r="A33" s="1">
        <v>393.6</v>
      </c>
      <c r="B33" s="1">
        <v>393.6</v>
      </c>
      <c r="C33" s="1">
        <f>LN(dane_7[[#This Row],[Dane wejściowe posortowane]])</f>
        <v>5.9753351651780982</v>
      </c>
      <c r="D33" s="1">
        <v>32</v>
      </c>
      <c r="G33" s="1">
        <f>dane_7[[#This Row],[Nr próbki]]/($G$1+1)</f>
        <v>3.1968031968031968E-2</v>
      </c>
      <c r="H33" s="1">
        <f>(dane_7[[#This Row],[Logarytm naturalny]]-$I$2)/$J$2</f>
        <v>-2.3940965156285801</v>
      </c>
      <c r="M33" s="1">
        <f t="shared" si="0"/>
        <v>8.3306819165682583E-3</v>
      </c>
    </row>
    <row r="34" spans="1:13" x14ac:dyDescent="0.25">
      <c r="A34" s="1">
        <v>393.7</v>
      </c>
      <c r="B34" s="1">
        <v>393.7</v>
      </c>
      <c r="C34" s="1">
        <f>LN(dane_7[[#This Row],[Dane wejściowe posortowane]])</f>
        <v>5.9755891979496916</v>
      </c>
      <c r="D34" s="1">
        <v>33</v>
      </c>
      <c r="G34" s="1">
        <f>dane_7[[#This Row],[Nr próbki]]/($G$1+1)</f>
        <v>3.2967032967032968E-2</v>
      </c>
      <c r="H34" s="1">
        <f>(dane_7[[#This Row],[Logarytm naturalny]]-$I$2)/$J$2</f>
        <v>-2.359115620771274</v>
      </c>
      <c r="M34" s="1">
        <f t="shared" si="0"/>
        <v>9.1592736589341181E-3</v>
      </c>
    </row>
    <row r="35" spans="1:13" x14ac:dyDescent="0.25">
      <c r="A35" s="1">
        <v>393.8</v>
      </c>
      <c r="B35" s="1">
        <v>393.8</v>
      </c>
      <c r="C35" s="1">
        <f>LN(dane_7[[#This Row],[Dane wejściowe posortowane]])</f>
        <v>5.9758431662050251</v>
      </c>
      <c r="D35" s="1">
        <v>34</v>
      </c>
      <c r="G35" s="1">
        <f>dane_7[[#This Row],[Nr próbki]]/($G$1+1)</f>
        <v>3.3966033966033968E-2</v>
      </c>
      <c r="H35" s="1">
        <f>(dane_7[[#This Row],[Logarytm naturalny]]-$I$2)/$J$2</f>
        <v>-2.3241436099508173</v>
      </c>
      <c r="M35" s="1">
        <f t="shared" si="0"/>
        <v>1.0058899197440161E-2</v>
      </c>
    </row>
    <row r="36" spans="1:13" x14ac:dyDescent="0.25">
      <c r="A36" s="1">
        <v>393.9</v>
      </c>
      <c r="B36" s="1">
        <v>393.9</v>
      </c>
      <c r="C36" s="1">
        <f>LN(dane_7[[#This Row],[Dane wejściowe posortowane]])</f>
        <v>5.9760970699768601</v>
      </c>
      <c r="D36" s="1">
        <v>35</v>
      </c>
      <c r="G36" s="1">
        <f>dane_7[[#This Row],[Nr próbki]]/($G$1+1)</f>
        <v>3.4965034965034968E-2</v>
      </c>
      <c r="H36" s="1">
        <f>(dane_7[[#This Row],[Logarytm naturalny]]-$I$2)/$J$2</f>
        <v>-2.2891804786558976</v>
      </c>
      <c r="M36" s="1">
        <f t="shared" si="0"/>
        <v>1.1034434172913105E-2</v>
      </c>
    </row>
    <row r="37" spans="1:13" x14ac:dyDescent="0.25">
      <c r="A37" s="1">
        <v>393.9</v>
      </c>
      <c r="B37" s="1">
        <v>393.9</v>
      </c>
      <c r="C37" s="1">
        <f>LN(dane_7[[#This Row],[Dane wejściowe posortowane]])</f>
        <v>5.9760970699768601</v>
      </c>
      <c r="D37" s="1">
        <v>36</v>
      </c>
      <c r="G37" s="1">
        <f>dane_7[[#This Row],[Nr próbki]]/($G$1+1)</f>
        <v>3.5964035964035967E-2</v>
      </c>
      <c r="H37" s="1">
        <f>(dane_7[[#This Row],[Logarytm naturalny]]-$I$2)/$J$2</f>
        <v>-2.2891804786558976</v>
      </c>
      <c r="M37" s="1">
        <f t="shared" si="0"/>
        <v>1.1034434172913105E-2</v>
      </c>
    </row>
    <row r="38" spans="1:13" x14ac:dyDescent="0.25">
      <c r="A38" s="1">
        <v>393.9</v>
      </c>
      <c r="B38" s="1">
        <v>393.9</v>
      </c>
      <c r="C38" s="1">
        <f>LN(dane_7[[#This Row],[Dane wejściowe posortowane]])</f>
        <v>5.9760970699768601</v>
      </c>
      <c r="D38" s="1">
        <v>37</v>
      </c>
      <c r="G38" s="1">
        <f>dane_7[[#This Row],[Nr próbki]]/($G$1+1)</f>
        <v>3.696303696303696E-2</v>
      </c>
      <c r="H38" s="1">
        <f>(dane_7[[#This Row],[Logarytm naturalny]]-$I$2)/$J$2</f>
        <v>-2.2891804786558976</v>
      </c>
      <c r="M38" s="1">
        <f t="shared" si="0"/>
        <v>1.1034434172913105E-2</v>
      </c>
    </row>
    <row r="39" spans="1:13" x14ac:dyDescent="0.25">
      <c r="A39" s="1">
        <v>394</v>
      </c>
      <c r="B39" s="1">
        <v>394</v>
      </c>
      <c r="C39" s="1">
        <f>LN(dane_7[[#This Row],[Dane wejściowe posortowane]])</f>
        <v>5.9763509092979339</v>
      </c>
      <c r="D39" s="1">
        <v>38</v>
      </c>
      <c r="G39" s="1">
        <f>dane_7[[#This Row],[Nr próbki]]/($G$1+1)</f>
        <v>3.796203796203796E-2</v>
      </c>
      <c r="H39" s="1">
        <f>(dane_7[[#This Row],[Logarytm naturalny]]-$I$2)/$J$2</f>
        <v>-2.2542262223785032</v>
      </c>
      <c r="M39" s="1">
        <f t="shared" si="0"/>
        <v>1.2090969971016805E-2</v>
      </c>
    </row>
    <row r="40" spans="1:13" x14ac:dyDescent="0.25">
      <c r="A40" s="1">
        <v>394</v>
      </c>
      <c r="B40" s="1">
        <v>394</v>
      </c>
      <c r="C40" s="1">
        <f>LN(dane_7[[#This Row],[Dane wejściowe posortowane]])</f>
        <v>5.9763509092979339</v>
      </c>
      <c r="D40" s="1">
        <v>39</v>
      </c>
      <c r="G40" s="1">
        <f>dane_7[[#This Row],[Nr próbki]]/($G$1+1)</f>
        <v>3.896103896103896E-2</v>
      </c>
      <c r="H40" s="1">
        <f>(dane_7[[#This Row],[Logarytm naturalny]]-$I$2)/$J$2</f>
        <v>-2.2542262223785032</v>
      </c>
      <c r="M40" s="1">
        <f t="shared" si="0"/>
        <v>1.2090969971016805E-2</v>
      </c>
    </row>
    <row r="41" spans="1:13" x14ac:dyDescent="0.25">
      <c r="A41" s="1">
        <v>394.1</v>
      </c>
      <c r="B41" s="1">
        <v>394.1</v>
      </c>
      <c r="C41" s="1">
        <f>LN(dane_7[[#This Row],[Dane wejściowe posortowane]])</f>
        <v>5.9766046842009581</v>
      </c>
      <c r="D41" s="1">
        <v>40</v>
      </c>
      <c r="G41" s="1">
        <f>dane_7[[#This Row],[Nr próbki]]/($G$1+1)</f>
        <v>3.996003996003996E-2</v>
      </c>
      <c r="H41" s="1">
        <f>(dane_7[[#This Row],[Logarytm naturalny]]-$I$2)/$J$2</f>
        <v>-2.2192808366141712</v>
      </c>
      <c r="M41" s="1">
        <f t="shared" si="0"/>
        <v>1.3233812254660292E-2</v>
      </c>
    </row>
    <row r="42" spans="1:13" x14ac:dyDescent="0.25">
      <c r="A42" s="1">
        <v>394.1</v>
      </c>
      <c r="B42" s="1">
        <v>394.1</v>
      </c>
      <c r="C42" s="1">
        <f>LN(dane_7[[#This Row],[Dane wejściowe posortowane]])</f>
        <v>5.9766046842009581</v>
      </c>
      <c r="D42" s="1">
        <v>41</v>
      </c>
      <c r="G42" s="1">
        <f>dane_7[[#This Row],[Nr próbki]]/($G$1+1)</f>
        <v>4.095904095904096E-2</v>
      </c>
      <c r="H42" s="1">
        <f>(dane_7[[#This Row],[Logarytm naturalny]]-$I$2)/$J$2</f>
        <v>-2.2192808366141712</v>
      </c>
      <c r="M42" s="1">
        <f t="shared" si="0"/>
        <v>1.3233812254660292E-2</v>
      </c>
    </row>
    <row r="43" spans="1:13" x14ac:dyDescent="0.25">
      <c r="A43" s="1">
        <v>394.1</v>
      </c>
      <c r="B43" s="1">
        <v>394.1</v>
      </c>
      <c r="C43" s="1">
        <f>LN(dane_7[[#This Row],[Dane wejściowe posortowane]])</f>
        <v>5.9766046842009581</v>
      </c>
      <c r="D43" s="1">
        <v>42</v>
      </c>
      <c r="G43" s="1">
        <f>dane_7[[#This Row],[Nr próbki]]/($G$1+1)</f>
        <v>4.195804195804196E-2</v>
      </c>
      <c r="H43" s="1">
        <f>(dane_7[[#This Row],[Logarytm naturalny]]-$I$2)/$J$2</f>
        <v>-2.2192808366141712</v>
      </c>
      <c r="M43" s="1">
        <f t="shared" si="0"/>
        <v>1.3233812254660292E-2</v>
      </c>
    </row>
    <row r="44" spans="1:13" x14ac:dyDescent="0.25">
      <c r="A44" s="1">
        <v>394.1</v>
      </c>
      <c r="B44" s="1">
        <v>394.1</v>
      </c>
      <c r="C44" s="1">
        <f>LN(dane_7[[#This Row],[Dane wejściowe posortowane]])</f>
        <v>5.9766046842009581</v>
      </c>
      <c r="D44" s="1">
        <v>43</v>
      </c>
      <c r="G44" s="1">
        <f>dane_7[[#This Row],[Nr próbki]]/($G$1+1)</f>
        <v>4.295704295704296E-2</v>
      </c>
      <c r="H44" s="1">
        <f>(dane_7[[#This Row],[Logarytm naturalny]]-$I$2)/$J$2</f>
        <v>-2.2192808366141712</v>
      </c>
      <c r="M44" s="1">
        <f t="shared" si="0"/>
        <v>1.3233812254660292E-2</v>
      </c>
    </row>
    <row r="45" spans="1:13" x14ac:dyDescent="0.25">
      <c r="A45" s="1">
        <v>394.2</v>
      </c>
      <c r="B45" s="1">
        <v>394.2</v>
      </c>
      <c r="C45" s="1">
        <f>LN(dane_7[[#This Row],[Dane wejściowe posortowane]])</f>
        <v>5.9768583947186196</v>
      </c>
      <c r="D45" s="1">
        <v>44</v>
      </c>
      <c r="G45" s="1">
        <f>dane_7[[#This Row],[Nr próbki]]/($G$1+1)</f>
        <v>4.3956043956043959E-2</v>
      </c>
      <c r="H45" s="1">
        <f>(dane_7[[#This Row],[Logarytm naturalny]]-$I$2)/$J$2</f>
        <v>-2.1843443168618619</v>
      </c>
      <c r="M45" s="1">
        <f t="shared" si="0"/>
        <v>1.4468478297526939E-2</v>
      </c>
    </row>
    <row r="46" spans="1:13" x14ac:dyDescent="0.25">
      <c r="A46" s="1">
        <v>394.2</v>
      </c>
      <c r="B46" s="1">
        <v>394.2</v>
      </c>
      <c r="C46" s="1">
        <f>LN(dane_7[[#This Row],[Dane wejściowe posortowane]])</f>
        <v>5.9768583947186196</v>
      </c>
      <c r="D46" s="1">
        <v>45</v>
      </c>
      <c r="G46" s="1">
        <f>dane_7[[#This Row],[Nr próbki]]/($G$1+1)</f>
        <v>4.4955044955044952E-2</v>
      </c>
      <c r="H46" s="1">
        <f>(dane_7[[#This Row],[Logarytm naturalny]]-$I$2)/$J$2</f>
        <v>-2.1843443168618619</v>
      </c>
      <c r="M46" s="1">
        <f t="shared" si="0"/>
        <v>1.4468478297526939E-2</v>
      </c>
    </row>
    <row r="47" spans="1:13" x14ac:dyDescent="0.25">
      <c r="A47" s="1">
        <v>394.2</v>
      </c>
      <c r="B47" s="1">
        <v>394.2</v>
      </c>
      <c r="C47" s="1">
        <f>LN(dane_7[[#This Row],[Dane wejściowe posortowane]])</f>
        <v>5.9768583947186196</v>
      </c>
      <c r="D47" s="1">
        <v>46</v>
      </c>
      <c r="G47" s="1">
        <f>dane_7[[#This Row],[Nr próbki]]/($G$1+1)</f>
        <v>4.5954045954045952E-2</v>
      </c>
      <c r="H47" s="1">
        <f>(dane_7[[#This Row],[Logarytm naturalny]]-$I$2)/$J$2</f>
        <v>-2.1843443168618619</v>
      </c>
      <c r="M47" s="1">
        <f t="shared" si="0"/>
        <v>1.4468478297526939E-2</v>
      </c>
    </row>
    <row r="48" spans="1:13" x14ac:dyDescent="0.25">
      <c r="A48" s="1">
        <v>394.3</v>
      </c>
      <c r="B48" s="1">
        <v>394.3</v>
      </c>
      <c r="C48" s="1">
        <f>LN(dane_7[[#This Row],[Dane wejściowe posortowane]])</f>
        <v>5.9771120408835818</v>
      </c>
      <c r="D48" s="1">
        <v>47</v>
      </c>
      <c r="G48" s="1">
        <f>dane_7[[#This Row],[Nr próbki]]/($G$1+1)</f>
        <v>4.6953046953046952E-2</v>
      </c>
      <c r="H48" s="1">
        <f>(dane_7[[#This Row],[Logarytm naturalny]]-$I$2)/$J$2</f>
        <v>-2.1494166586237164</v>
      </c>
      <c r="M48" s="1">
        <f t="shared" si="0"/>
        <v>1.5800693039273152E-2</v>
      </c>
    </row>
    <row r="49" spans="1:13" x14ac:dyDescent="0.25">
      <c r="A49" s="1">
        <v>394.3</v>
      </c>
      <c r="B49" s="1">
        <v>394.3</v>
      </c>
      <c r="C49" s="1">
        <f>LN(dane_7[[#This Row],[Dane wejściowe posortowane]])</f>
        <v>5.9771120408835818</v>
      </c>
      <c r="D49" s="1">
        <v>48</v>
      </c>
      <c r="G49" s="1">
        <f>dane_7[[#This Row],[Nr próbki]]/($G$1+1)</f>
        <v>4.7952047952047952E-2</v>
      </c>
      <c r="H49" s="1">
        <f>(dane_7[[#This Row],[Logarytm naturalny]]-$I$2)/$J$2</f>
        <v>-2.1494166586237164</v>
      </c>
      <c r="M49" s="1">
        <f t="shared" si="0"/>
        <v>1.5800693039273152E-2</v>
      </c>
    </row>
    <row r="50" spans="1:13" x14ac:dyDescent="0.25">
      <c r="A50" s="1">
        <v>394.3</v>
      </c>
      <c r="B50" s="1">
        <v>394.3</v>
      </c>
      <c r="C50" s="1">
        <f>LN(dane_7[[#This Row],[Dane wejściowe posortowane]])</f>
        <v>5.9771120408835818</v>
      </c>
      <c r="D50" s="1">
        <v>49</v>
      </c>
      <c r="G50" s="1">
        <f>dane_7[[#This Row],[Nr próbki]]/($G$1+1)</f>
        <v>4.8951048951048952E-2</v>
      </c>
      <c r="H50" s="1">
        <f>(dane_7[[#This Row],[Logarytm naturalny]]-$I$2)/$J$2</f>
        <v>-2.1494166586237164</v>
      </c>
      <c r="M50" s="1">
        <f t="shared" si="0"/>
        <v>1.5800693039273152E-2</v>
      </c>
    </row>
    <row r="51" spans="1:13" x14ac:dyDescent="0.25">
      <c r="A51" s="1">
        <v>394.4</v>
      </c>
      <c r="B51" s="1">
        <v>394.4</v>
      </c>
      <c r="C51" s="1">
        <f>LN(dane_7[[#This Row],[Dane wejściowe posortowane]])</f>
        <v>5.9773656227284802</v>
      </c>
      <c r="D51" s="1">
        <v>50</v>
      </c>
      <c r="G51" s="1">
        <f>dane_7[[#This Row],[Nr próbki]]/($G$1+1)</f>
        <v>4.9950049950049952E-2</v>
      </c>
      <c r="H51" s="1">
        <f>(dane_7[[#This Row],[Logarytm naturalny]]-$I$2)/$J$2</f>
        <v>-2.1144978574057882</v>
      </c>
      <c r="M51" s="1">
        <f t="shared" si="0"/>
        <v>1.723638378625748E-2</v>
      </c>
    </row>
    <row r="52" spans="1:13" x14ac:dyDescent="0.25">
      <c r="A52" s="1">
        <v>394.4</v>
      </c>
      <c r="B52" s="1">
        <v>394.4</v>
      </c>
      <c r="C52" s="1">
        <f>LN(dane_7[[#This Row],[Dane wejściowe posortowane]])</f>
        <v>5.9773656227284802</v>
      </c>
      <c r="D52" s="1">
        <v>51</v>
      </c>
      <c r="G52" s="1">
        <f>dane_7[[#This Row],[Nr próbki]]/($G$1+1)</f>
        <v>5.0949050949050952E-2</v>
      </c>
      <c r="H52" s="1">
        <f>(dane_7[[#This Row],[Logarytm naturalny]]-$I$2)/$J$2</f>
        <v>-2.1144978574057882</v>
      </c>
      <c r="M52" s="1">
        <f t="shared" si="0"/>
        <v>1.723638378625748E-2</v>
      </c>
    </row>
    <row r="53" spans="1:13" x14ac:dyDescent="0.25">
      <c r="A53" s="1">
        <v>394.4</v>
      </c>
      <c r="B53" s="1">
        <v>394.4</v>
      </c>
      <c r="C53" s="1">
        <f>LN(dane_7[[#This Row],[Dane wejściowe posortowane]])</f>
        <v>5.9773656227284802</v>
      </c>
      <c r="D53" s="1">
        <v>52</v>
      </c>
      <c r="G53" s="1">
        <f>dane_7[[#This Row],[Nr próbki]]/($G$1+1)</f>
        <v>5.1948051948051951E-2</v>
      </c>
      <c r="H53" s="1">
        <f>(dane_7[[#This Row],[Logarytm naturalny]]-$I$2)/$J$2</f>
        <v>-2.1144978574057882</v>
      </c>
      <c r="M53" s="1">
        <f t="shared" si="0"/>
        <v>1.723638378625748E-2</v>
      </c>
    </row>
    <row r="54" spans="1:13" x14ac:dyDescent="0.25">
      <c r="A54" s="1">
        <v>394.4</v>
      </c>
      <c r="B54" s="1">
        <v>394.4</v>
      </c>
      <c r="C54" s="1">
        <f>LN(dane_7[[#This Row],[Dane wejściowe posortowane]])</f>
        <v>5.9773656227284802</v>
      </c>
      <c r="D54" s="1">
        <v>53</v>
      </c>
      <c r="G54" s="1">
        <f>dane_7[[#This Row],[Nr próbki]]/($G$1+1)</f>
        <v>5.2947052947052944E-2</v>
      </c>
      <c r="H54" s="1">
        <f>(dane_7[[#This Row],[Logarytm naturalny]]-$I$2)/$J$2</f>
        <v>-2.1144978574057882</v>
      </c>
      <c r="M54" s="1">
        <f t="shared" si="0"/>
        <v>1.723638378625748E-2</v>
      </c>
    </row>
    <row r="55" spans="1:13" x14ac:dyDescent="0.25">
      <c r="A55" s="1">
        <v>394.4</v>
      </c>
      <c r="B55" s="1">
        <v>394.4</v>
      </c>
      <c r="C55" s="1">
        <f>LN(dane_7[[#This Row],[Dane wejściowe posortowane]])</f>
        <v>5.9773656227284802</v>
      </c>
      <c r="D55" s="1">
        <v>54</v>
      </c>
      <c r="G55" s="1">
        <f>dane_7[[#This Row],[Nr próbki]]/($G$1+1)</f>
        <v>5.3946053946053944E-2</v>
      </c>
      <c r="H55" s="1">
        <f>(dane_7[[#This Row],[Logarytm naturalny]]-$I$2)/$J$2</f>
        <v>-2.1144978574057882</v>
      </c>
      <c r="M55" s="1">
        <f t="shared" si="0"/>
        <v>1.723638378625748E-2</v>
      </c>
    </row>
    <row r="56" spans="1:13" x14ac:dyDescent="0.25">
      <c r="A56" s="1">
        <v>394.4</v>
      </c>
      <c r="B56" s="1">
        <v>394.4</v>
      </c>
      <c r="C56" s="1">
        <f>LN(dane_7[[#This Row],[Dane wejściowe posortowane]])</f>
        <v>5.9773656227284802</v>
      </c>
      <c r="D56" s="1">
        <v>55</v>
      </c>
      <c r="G56" s="1">
        <f>dane_7[[#This Row],[Nr próbki]]/($G$1+1)</f>
        <v>5.4945054945054944E-2</v>
      </c>
      <c r="H56" s="1">
        <f>(dane_7[[#This Row],[Logarytm naturalny]]-$I$2)/$J$2</f>
        <v>-2.1144978574057882</v>
      </c>
      <c r="M56" s="1">
        <f t="shared" si="0"/>
        <v>1.723638378625748E-2</v>
      </c>
    </row>
    <row r="57" spans="1:13" x14ac:dyDescent="0.25">
      <c r="A57" s="1">
        <v>394.5</v>
      </c>
      <c r="B57" s="1">
        <v>394.5</v>
      </c>
      <c r="C57" s="1">
        <f>LN(dane_7[[#This Row],[Dane wejściowe posortowane]])</f>
        <v>5.9776191402859293</v>
      </c>
      <c r="D57" s="1">
        <v>56</v>
      </c>
      <c r="G57" s="1">
        <f>dane_7[[#This Row],[Nr próbki]]/($G$1+1)</f>
        <v>5.5944055944055944E-2</v>
      </c>
      <c r="H57" s="1">
        <f>(dane_7[[#This Row],[Logarytm naturalny]]-$I$2)/$J$2</f>
        <v>-2.0795879087169449</v>
      </c>
      <c r="M57" s="1">
        <f t="shared" si="0"/>
        <v>1.8781673486096179E-2</v>
      </c>
    </row>
    <row r="58" spans="1:13" x14ac:dyDescent="0.25">
      <c r="A58" s="1">
        <v>394.5</v>
      </c>
      <c r="B58" s="1">
        <v>394.5</v>
      </c>
      <c r="C58" s="1">
        <f>LN(dane_7[[#This Row],[Dane wejściowe posortowane]])</f>
        <v>5.9776191402859293</v>
      </c>
      <c r="D58" s="1">
        <v>57</v>
      </c>
      <c r="G58" s="1">
        <f>dane_7[[#This Row],[Nr próbki]]/($G$1+1)</f>
        <v>5.6943056943056944E-2</v>
      </c>
      <c r="H58" s="1">
        <f>(dane_7[[#This Row],[Logarytm naturalny]]-$I$2)/$J$2</f>
        <v>-2.0795879087169449</v>
      </c>
      <c r="M58" s="1">
        <f t="shared" si="0"/>
        <v>1.8781673486096179E-2</v>
      </c>
    </row>
    <row r="59" spans="1:13" x14ac:dyDescent="0.25">
      <c r="A59" s="1">
        <v>394.5</v>
      </c>
      <c r="B59" s="1">
        <v>394.5</v>
      </c>
      <c r="C59" s="1">
        <f>LN(dane_7[[#This Row],[Dane wejściowe posortowane]])</f>
        <v>5.9776191402859293</v>
      </c>
      <c r="D59" s="1">
        <v>58</v>
      </c>
      <c r="G59" s="1">
        <f>dane_7[[#This Row],[Nr próbki]]/($G$1+1)</f>
        <v>5.7942057942057944E-2</v>
      </c>
      <c r="H59" s="1">
        <f>(dane_7[[#This Row],[Logarytm naturalny]]-$I$2)/$J$2</f>
        <v>-2.0795879087169449</v>
      </c>
      <c r="M59" s="1">
        <f t="shared" si="0"/>
        <v>1.8781673486096179E-2</v>
      </c>
    </row>
    <row r="60" spans="1:13" x14ac:dyDescent="0.25">
      <c r="A60" s="1">
        <v>394.5</v>
      </c>
      <c r="B60" s="1">
        <v>394.5</v>
      </c>
      <c r="C60" s="1">
        <f>LN(dane_7[[#This Row],[Dane wejściowe posortowane]])</f>
        <v>5.9776191402859293</v>
      </c>
      <c r="D60" s="1">
        <v>59</v>
      </c>
      <c r="G60" s="1">
        <f>dane_7[[#This Row],[Nr próbki]]/($G$1+1)</f>
        <v>5.8941058941058944E-2</v>
      </c>
      <c r="H60" s="1">
        <f>(dane_7[[#This Row],[Logarytm naturalny]]-$I$2)/$J$2</f>
        <v>-2.0795879087169449</v>
      </c>
      <c r="M60" s="1">
        <f t="shared" si="0"/>
        <v>1.8781673486096179E-2</v>
      </c>
    </row>
    <row r="61" spans="1:13" x14ac:dyDescent="0.25">
      <c r="A61" s="1">
        <v>394.5</v>
      </c>
      <c r="B61" s="1">
        <v>394.5</v>
      </c>
      <c r="C61" s="1">
        <f>LN(dane_7[[#This Row],[Dane wejściowe posortowane]])</f>
        <v>5.9776191402859293</v>
      </c>
      <c r="D61" s="1">
        <v>60</v>
      </c>
      <c r="G61" s="1">
        <f>dane_7[[#This Row],[Nr próbki]]/($G$1+1)</f>
        <v>5.9940059940059943E-2</v>
      </c>
      <c r="H61" s="1">
        <f>(dane_7[[#This Row],[Logarytm naturalny]]-$I$2)/$J$2</f>
        <v>-2.0795879087169449</v>
      </c>
      <c r="M61" s="1">
        <f t="shared" si="0"/>
        <v>1.8781673486096179E-2</v>
      </c>
    </row>
    <row r="62" spans="1:13" x14ac:dyDescent="0.25">
      <c r="A62" s="1">
        <v>394.6</v>
      </c>
      <c r="B62" s="1">
        <v>394.6</v>
      </c>
      <c r="C62" s="1">
        <f>LN(dane_7[[#This Row],[Dane wejściowe posortowane]])</f>
        <v>5.9778725935885149</v>
      </c>
      <c r="D62" s="1">
        <v>61</v>
      </c>
      <c r="G62" s="1">
        <f>dane_7[[#This Row],[Nr próbki]]/($G$1+1)</f>
        <v>6.0939060939060936E-2</v>
      </c>
      <c r="H62" s="1">
        <f>(dane_7[[#This Row],[Logarytm naturalny]]-$I$2)/$J$2</f>
        <v>-2.04468680807009</v>
      </c>
      <c r="M62" s="1">
        <f t="shared" si="0"/>
        <v>2.0442872509313686E-2</v>
      </c>
    </row>
    <row r="63" spans="1:13" x14ac:dyDescent="0.25">
      <c r="A63" s="1">
        <v>394.7</v>
      </c>
      <c r="B63" s="1">
        <v>394.7</v>
      </c>
      <c r="C63" s="1">
        <f>LN(dane_7[[#This Row],[Dane wejściowe posortowane]])</f>
        <v>5.9781259826688018</v>
      </c>
      <c r="D63" s="1">
        <v>62</v>
      </c>
      <c r="G63" s="1">
        <f>dane_7[[#This Row],[Nr próbki]]/($G$1+1)</f>
        <v>6.1938061938061936E-2</v>
      </c>
      <c r="H63" s="1">
        <f>(dane_7[[#This Row],[Logarytm naturalny]]-$I$2)/$J$2</f>
        <v>-2.0097945509809398</v>
      </c>
      <c r="M63" s="1">
        <f t="shared" si="0"/>
        <v>2.2226468877940279E-2</v>
      </c>
    </row>
    <row r="64" spans="1:13" x14ac:dyDescent="0.25">
      <c r="A64" s="1">
        <v>394.7</v>
      </c>
      <c r="B64" s="1">
        <v>394.7</v>
      </c>
      <c r="C64" s="1">
        <f>LN(dane_7[[#This Row],[Dane wejściowe posortowane]])</f>
        <v>5.9781259826688018</v>
      </c>
      <c r="D64" s="1">
        <v>63</v>
      </c>
      <c r="G64" s="1">
        <f>dane_7[[#This Row],[Nr próbki]]/($G$1+1)</f>
        <v>6.2937062937062943E-2</v>
      </c>
      <c r="H64" s="1">
        <f>(dane_7[[#This Row],[Logarytm naturalny]]-$I$2)/$J$2</f>
        <v>-2.0097945509809398</v>
      </c>
      <c r="M64" s="1">
        <f t="shared" si="0"/>
        <v>2.2226468877940279E-2</v>
      </c>
    </row>
    <row r="65" spans="1:13" x14ac:dyDescent="0.25">
      <c r="A65" s="1">
        <v>394.7</v>
      </c>
      <c r="B65" s="1">
        <v>394.7</v>
      </c>
      <c r="C65" s="1">
        <f>LN(dane_7[[#This Row],[Dane wejściowe posortowane]])</f>
        <v>5.9781259826688018</v>
      </c>
      <c r="D65" s="1">
        <v>64</v>
      </c>
      <c r="G65" s="1">
        <f>dane_7[[#This Row],[Nr próbki]]/($G$1+1)</f>
        <v>6.3936063936063936E-2</v>
      </c>
      <c r="H65" s="1">
        <f>(dane_7[[#This Row],[Logarytm naturalny]]-$I$2)/$J$2</f>
        <v>-2.0097945509809398</v>
      </c>
      <c r="M65" s="1">
        <f t="shared" si="0"/>
        <v>2.2226468877940279E-2</v>
      </c>
    </row>
    <row r="66" spans="1:13" x14ac:dyDescent="0.25">
      <c r="A66" s="1">
        <v>394.7</v>
      </c>
      <c r="B66" s="1">
        <v>394.7</v>
      </c>
      <c r="C66" s="1">
        <f>LN(dane_7[[#This Row],[Dane wejściowe posortowane]])</f>
        <v>5.9781259826688018</v>
      </c>
      <c r="D66" s="1">
        <v>65</v>
      </c>
      <c r="G66" s="1">
        <f>dane_7[[#This Row],[Nr próbki]]/($G$1+1)</f>
        <v>6.4935064935064929E-2</v>
      </c>
      <c r="H66" s="1">
        <f>(dane_7[[#This Row],[Logarytm naturalny]]-$I$2)/$J$2</f>
        <v>-2.0097945509809398</v>
      </c>
      <c r="M66" s="1">
        <f t="shared" si="0"/>
        <v>2.2226468877940279E-2</v>
      </c>
    </row>
    <row r="67" spans="1:13" x14ac:dyDescent="0.25">
      <c r="A67" s="1">
        <v>394.8</v>
      </c>
      <c r="B67" s="1">
        <v>394.8</v>
      </c>
      <c r="C67" s="1">
        <f>LN(dane_7[[#This Row],[Dane wejściowe posortowane]])</f>
        <v>5.9783793075593268</v>
      </c>
      <c r="D67" s="1">
        <v>66</v>
      </c>
      <c r="G67" s="1">
        <f>dane_7[[#This Row],[Nr próbki]]/($G$1+1)</f>
        <v>6.5934065934065936E-2</v>
      </c>
      <c r="H67" s="1">
        <f>(dane_7[[#This Row],[Logarytm naturalny]]-$I$2)/$J$2</f>
        <v>-1.9749111329691249</v>
      </c>
      <c r="M67" s="1">
        <f t="shared" ref="M67:M130" si="1">LOGNORMDIST(B67:B1066,$I$2,$J$2)</f>
        <v>2.4139116887714886E-2</v>
      </c>
    </row>
    <row r="68" spans="1:13" x14ac:dyDescent="0.25">
      <c r="A68" s="1">
        <v>394.8</v>
      </c>
      <c r="B68" s="1">
        <v>394.8</v>
      </c>
      <c r="C68" s="1">
        <f>LN(dane_7[[#This Row],[Dane wejściowe posortowane]])</f>
        <v>5.9783793075593268</v>
      </c>
      <c r="D68" s="1">
        <v>67</v>
      </c>
      <c r="G68" s="1">
        <f>dane_7[[#This Row],[Nr próbki]]/($G$1+1)</f>
        <v>6.6933066933066929E-2</v>
      </c>
      <c r="H68" s="1">
        <f>(dane_7[[#This Row],[Logarytm naturalny]]-$I$2)/$J$2</f>
        <v>-1.9749111329691249</v>
      </c>
      <c r="M68" s="1">
        <f t="shared" si="1"/>
        <v>2.4139116887714886E-2</v>
      </c>
    </row>
    <row r="69" spans="1:13" x14ac:dyDescent="0.25">
      <c r="A69" s="1">
        <v>394.8</v>
      </c>
      <c r="B69" s="1">
        <v>394.8</v>
      </c>
      <c r="C69" s="1">
        <f>LN(dane_7[[#This Row],[Dane wejściowe posortowane]])</f>
        <v>5.9783793075593268</v>
      </c>
      <c r="D69" s="1">
        <v>68</v>
      </c>
      <c r="G69" s="1">
        <f>dane_7[[#This Row],[Nr próbki]]/($G$1+1)</f>
        <v>6.7932067932067935E-2</v>
      </c>
      <c r="H69" s="1">
        <f>(dane_7[[#This Row],[Logarytm naturalny]]-$I$2)/$J$2</f>
        <v>-1.9749111329691249</v>
      </c>
      <c r="M69" s="1">
        <f t="shared" si="1"/>
        <v>2.4139116887714886E-2</v>
      </c>
    </row>
    <row r="70" spans="1:13" x14ac:dyDescent="0.25">
      <c r="A70" s="1">
        <v>394.8</v>
      </c>
      <c r="B70" s="1">
        <v>394.8</v>
      </c>
      <c r="C70" s="1">
        <f>LN(dane_7[[#This Row],[Dane wejściowe posortowane]])</f>
        <v>5.9783793075593268</v>
      </c>
      <c r="D70" s="1">
        <v>69</v>
      </c>
      <c r="G70" s="1">
        <f>dane_7[[#This Row],[Nr próbki]]/($G$1+1)</f>
        <v>6.8931068931068928E-2</v>
      </c>
      <c r="H70" s="1">
        <f>(dane_7[[#This Row],[Logarytm naturalny]]-$I$2)/$J$2</f>
        <v>-1.9749111329691249</v>
      </c>
      <c r="M70" s="1">
        <f t="shared" si="1"/>
        <v>2.4139116887714886E-2</v>
      </c>
    </row>
    <row r="71" spans="1:13" x14ac:dyDescent="0.25">
      <c r="A71" s="1">
        <v>394.8</v>
      </c>
      <c r="B71" s="1">
        <v>394.8</v>
      </c>
      <c r="C71" s="1">
        <f>LN(dane_7[[#This Row],[Dane wejściowe posortowane]])</f>
        <v>5.9783793075593268</v>
      </c>
      <c r="D71" s="1">
        <v>70</v>
      </c>
      <c r="G71" s="1">
        <f>dane_7[[#This Row],[Nr próbki]]/($G$1+1)</f>
        <v>6.9930069930069935E-2</v>
      </c>
      <c r="H71" s="1">
        <f>(dane_7[[#This Row],[Logarytm naturalny]]-$I$2)/$J$2</f>
        <v>-1.9749111329691249</v>
      </c>
      <c r="M71" s="1">
        <f t="shared" si="1"/>
        <v>2.4139116887714886E-2</v>
      </c>
    </row>
    <row r="72" spans="1:13" x14ac:dyDescent="0.25">
      <c r="A72" s="1">
        <v>394.9</v>
      </c>
      <c r="B72" s="1">
        <v>394.9</v>
      </c>
      <c r="C72" s="1">
        <f>LN(dane_7[[#This Row],[Dane wejściowe posortowane]])</f>
        <v>5.9786325682926034</v>
      </c>
      <c r="D72" s="1">
        <v>71</v>
      </c>
      <c r="G72" s="1">
        <f>dane_7[[#This Row],[Nr próbki]]/($G$1+1)</f>
        <v>7.0929070929070928E-2</v>
      </c>
      <c r="H72" s="1">
        <f>(dane_7[[#This Row],[Logarytm naturalny]]-$I$2)/$J$2</f>
        <v>-1.9400365495574545</v>
      </c>
      <c r="M72" s="1">
        <f t="shared" si="1"/>
        <v>2.6187624079156514E-2</v>
      </c>
    </row>
    <row r="73" spans="1:13" x14ac:dyDescent="0.25">
      <c r="A73" s="1">
        <v>394.9</v>
      </c>
      <c r="B73" s="1">
        <v>394.9</v>
      </c>
      <c r="C73" s="1">
        <f>LN(dane_7[[#This Row],[Dane wejściowe posortowane]])</f>
        <v>5.9786325682926034</v>
      </c>
      <c r="D73" s="1">
        <v>72</v>
      </c>
      <c r="G73" s="1">
        <f>dane_7[[#This Row],[Nr próbki]]/($G$1+1)</f>
        <v>7.1928071928071935E-2</v>
      </c>
      <c r="H73" s="1">
        <f>(dane_7[[#This Row],[Logarytm naturalny]]-$I$2)/$J$2</f>
        <v>-1.9400365495574545</v>
      </c>
      <c r="M73" s="1">
        <f t="shared" si="1"/>
        <v>2.6187624079156514E-2</v>
      </c>
    </row>
    <row r="74" spans="1:13" x14ac:dyDescent="0.25">
      <c r="A74" s="1">
        <v>394.9</v>
      </c>
      <c r="B74" s="1">
        <v>394.9</v>
      </c>
      <c r="C74" s="1">
        <f>LN(dane_7[[#This Row],[Dane wejściowe posortowane]])</f>
        <v>5.9786325682926034</v>
      </c>
      <c r="D74" s="1">
        <v>73</v>
      </c>
      <c r="G74" s="1">
        <f>dane_7[[#This Row],[Nr próbki]]/($G$1+1)</f>
        <v>7.2927072927072928E-2</v>
      </c>
      <c r="H74" s="1">
        <f>(dane_7[[#This Row],[Logarytm naturalny]]-$I$2)/$J$2</f>
        <v>-1.9400365495574545</v>
      </c>
      <c r="M74" s="1">
        <f t="shared" si="1"/>
        <v>2.6187624079156514E-2</v>
      </c>
    </row>
    <row r="75" spans="1:13" x14ac:dyDescent="0.25">
      <c r="A75" s="1">
        <v>394.9</v>
      </c>
      <c r="B75" s="1">
        <v>394.9</v>
      </c>
      <c r="C75" s="1">
        <f>LN(dane_7[[#This Row],[Dane wejściowe posortowane]])</f>
        <v>5.9786325682926034</v>
      </c>
      <c r="D75" s="1">
        <v>74</v>
      </c>
      <c r="G75" s="1">
        <f>dane_7[[#This Row],[Nr próbki]]/($G$1+1)</f>
        <v>7.3926073926073921E-2</v>
      </c>
      <c r="H75" s="1">
        <f>(dane_7[[#This Row],[Logarytm naturalny]]-$I$2)/$J$2</f>
        <v>-1.9400365495574545</v>
      </c>
      <c r="M75" s="1">
        <f t="shared" si="1"/>
        <v>2.6187624079156514E-2</v>
      </c>
    </row>
    <row r="76" spans="1:13" x14ac:dyDescent="0.25">
      <c r="A76" s="1">
        <v>394.9</v>
      </c>
      <c r="B76" s="1">
        <v>394.9</v>
      </c>
      <c r="C76" s="1">
        <f>LN(dane_7[[#This Row],[Dane wejściowe posortowane]])</f>
        <v>5.9786325682926034</v>
      </c>
      <c r="D76" s="1">
        <v>75</v>
      </c>
      <c r="G76" s="1">
        <f>dane_7[[#This Row],[Nr próbki]]/($G$1+1)</f>
        <v>7.4925074925074928E-2</v>
      </c>
      <c r="H76" s="1">
        <f>(dane_7[[#This Row],[Logarytm naturalny]]-$I$2)/$J$2</f>
        <v>-1.9400365495574545</v>
      </c>
      <c r="M76" s="1">
        <f t="shared" si="1"/>
        <v>2.6187624079156514E-2</v>
      </c>
    </row>
    <row r="77" spans="1:13" x14ac:dyDescent="0.25">
      <c r="A77" s="1">
        <v>394.9</v>
      </c>
      <c r="B77" s="1">
        <v>394.9</v>
      </c>
      <c r="C77" s="1">
        <f>LN(dane_7[[#This Row],[Dane wejściowe posortowane]])</f>
        <v>5.9786325682926034</v>
      </c>
      <c r="D77" s="1">
        <v>76</v>
      </c>
      <c r="G77" s="1">
        <f>dane_7[[#This Row],[Nr próbki]]/($G$1+1)</f>
        <v>7.5924075924075921E-2</v>
      </c>
      <c r="H77" s="1">
        <f>(dane_7[[#This Row],[Logarytm naturalny]]-$I$2)/$J$2</f>
        <v>-1.9400365495574545</v>
      </c>
      <c r="M77" s="1">
        <f t="shared" si="1"/>
        <v>2.6187624079156514E-2</v>
      </c>
    </row>
    <row r="78" spans="1:13" x14ac:dyDescent="0.25">
      <c r="A78" s="1">
        <v>394.9</v>
      </c>
      <c r="B78" s="1">
        <v>394.9</v>
      </c>
      <c r="C78" s="1">
        <f>LN(dane_7[[#This Row],[Dane wejściowe posortowane]])</f>
        <v>5.9786325682926034</v>
      </c>
      <c r="D78" s="1">
        <v>77</v>
      </c>
      <c r="G78" s="1">
        <f>dane_7[[#This Row],[Nr próbki]]/($G$1+1)</f>
        <v>7.6923076923076927E-2</v>
      </c>
      <c r="H78" s="1">
        <f>(dane_7[[#This Row],[Logarytm naturalny]]-$I$2)/$J$2</f>
        <v>-1.9400365495574545</v>
      </c>
      <c r="M78" s="1">
        <f t="shared" si="1"/>
        <v>2.6187624079156514E-2</v>
      </c>
    </row>
    <row r="79" spans="1:13" x14ac:dyDescent="0.25">
      <c r="A79" s="1">
        <v>395</v>
      </c>
      <c r="B79" s="1">
        <v>395</v>
      </c>
      <c r="C79" s="1">
        <f>LN(dane_7[[#This Row],[Dane wejściowe posortowane]])</f>
        <v>5.978885764901122</v>
      </c>
      <c r="D79" s="1">
        <v>78</v>
      </c>
      <c r="G79" s="1">
        <f>dane_7[[#This Row],[Nr próbki]]/($G$1+1)</f>
        <v>7.792207792207792E-2</v>
      </c>
      <c r="H79" s="1">
        <f>(dane_7[[#This Row],[Logarytm naturalny]]-$I$2)/$J$2</f>
        <v>-1.9051707962719189</v>
      </c>
      <c r="M79" s="1">
        <f t="shared" si="1"/>
        <v>2.8378936521640464E-2</v>
      </c>
    </row>
    <row r="80" spans="1:13" x14ac:dyDescent="0.25">
      <c r="A80" s="1">
        <v>395</v>
      </c>
      <c r="B80" s="1">
        <v>395</v>
      </c>
      <c r="C80" s="1">
        <f>LN(dane_7[[#This Row],[Dane wejściowe posortowane]])</f>
        <v>5.978885764901122</v>
      </c>
      <c r="D80" s="1">
        <v>79</v>
      </c>
      <c r="G80" s="1">
        <f>dane_7[[#This Row],[Nr próbki]]/($G$1+1)</f>
        <v>7.8921078921078927E-2</v>
      </c>
      <c r="H80" s="1">
        <f>(dane_7[[#This Row],[Logarytm naturalny]]-$I$2)/$J$2</f>
        <v>-1.9051707962719189</v>
      </c>
      <c r="M80" s="1">
        <f t="shared" si="1"/>
        <v>2.8378936521640464E-2</v>
      </c>
    </row>
    <row r="81" spans="1:13" x14ac:dyDescent="0.25">
      <c r="A81" s="1">
        <v>395</v>
      </c>
      <c r="B81" s="1">
        <v>395</v>
      </c>
      <c r="C81" s="1">
        <f>LN(dane_7[[#This Row],[Dane wejściowe posortowane]])</f>
        <v>5.978885764901122</v>
      </c>
      <c r="D81" s="1">
        <v>80</v>
      </c>
      <c r="G81" s="1">
        <f>dane_7[[#This Row],[Nr próbki]]/($G$1+1)</f>
        <v>7.992007992007992E-2</v>
      </c>
      <c r="H81" s="1">
        <f>(dane_7[[#This Row],[Logarytm naturalny]]-$I$2)/$J$2</f>
        <v>-1.9051707962719189</v>
      </c>
      <c r="M81" s="1">
        <f t="shared" si="1"/>
        <v>2.8378936521640464E-2</v>
      </c>
    </row>
    <row r="82" spans="1:13" x14ac:dyDescent="0.25">
      <c r="A82" s="1">
        <v>395</v>
      </c>
      <c r="B82" s="1">
        <v>395</v>
      </c>
      <c r="C82" s="1">
        <f>LN(dane_7[[#This Row],[Dane wejściowe posortowane]])</f>
        <v>5.978885764901122</v>
      </c>
      <c r="D82" s="1">
        <v>81</v>
      </c>
      <c r="G82" s="1">
        <f>dane_7[[#This Row],[Nr próbki]]/($G$1+1)</f>
        <v>8.0919080919080913E-2</v>
      </c>
      <c r="H82" s="1">
        <f>(dane_7[[#This Row],[Logarytm naturalny]]-$I$2)/$J$2</f>
        <v>-1.9051707962719189</v>
      </c>
      <c r="M82" s="1">
        <f t="shared" si="1"/>
        <v>2.8378936521640464E-2</v>
      </c>
    </row>
    <row r="83" spans="1:13" x14ac:dyDescent="0.25">
      <c r="A83" s="1">
        <v>395.1</v>
      </c>
      <c r="B83" s="1">
        <v>395.1</v>
      </c>
      <c r="C83" s="1">
        <f>LN(dane_7[[#This Row],[Dane wejściowe posortowane]])</f>
        <v>5.9791388974173447</v>
      </c>
      <c r="D83" s="1">
        <v>82</v>
      </c>
      <c r="G83" s="1">
        <f>dane_7[[#This Row],[Nr próbki]]/($G$1+1)</f>
        <v>8.191808191808192E-2</v>
      </c>
      <c r="H83" s="1">
        <f>(dane_7[[#This Row],[Logarytm naturalny]]-$I$2)/$J$2</f>
        <v>-1.8703138686424217</v>
      </c>
      <c r="M83" s="1">
        <f t="shared" si="1"/>
        <v>3.0720122384851938E-2</v>
      </c>
    </row>
    <row r="84" spans="1:13" x14ac:dyDescent="0.25">
      <c r="A84" s="1">
        <v>395.1</v>
      </c>
      <c r="B84" s="1">
        <v>395.1</v>
      </c>
      <c r="C84" s="1">
        <f>LN(dane_7[[#This Row],[Dane wejściowe posortowane]])</f>
        <v>5.9791388974173447</v>
      </c>
      <c r="D84" s="1">
        <v>83</v>
      </c>
      <c r="G84" s="1">
        <f>dane_7[[#This Row],[Nr próbki]]/($G$1+1)</f>
        <v>8.2917082917082913E-2</v>
      </c>
      <c r="H84" s="1">
        <f>(dane_7[[#This Row],[Logarytm naturalny]]-$I$2)/$J$2</f>
        <v>-1.8703138686424217</v>
      </c>
      <c r="M84" s="1">
        <f t="shared" si="1"/>
        <v>3.0720122384851938E-2</v>
      </c>
    </row>
    <row r="85" spans="1:13" x14ac:dyDescent="0.25">
      <c r="A85" s="1">
        <v>395.1</v>
      </c>
      <c r="B85" s="1">
        <v>395.1</v>
      </c>
      <c r="C85" s="1">
        <f>LN(dane_7[[#This Row],[Dane wejściowe posortowane]])</f>
        <v>5.9791388974173447</v>
      </c>
      <c r="D85" s="1">
        <v>84</v>
      </c>
      <c r="G85" s="1">
        <f>dane_7[[#This Row],[Nr próbki]]/($G$1+1)</f>
        <v>8.3916083916083919E-2</v>
      </c>
      <c r="H85" s="1">
        <f>(dane_7[[#This Row],[Logarytm naturalny]]-$I$2)/$J$2</f>
        <v>-1.8703138686424217</v>
      </c>
      <c r="M85" s="1">
        <f t="shared" si="1"/>
        <v>3.0720122384851938E-2</v>
      </c>
    </row>
    <row r="86" spans="1:13" x14ac:dyDescent="0.25">
      <c r="A86" s="1">
        <v>395.1</v>
      </c>
      <c r="B86" s="1">
        <v>395.1</v>
      </c>
      <c r="C86" s="1">
        <f>LN(dane_7[[#This Row],[Dane wejściowe posortowane]])</f>
        <v>5.9791388974173447</v>
      </c>
      <c r="D86" s="1">
        <v>85</v>
      </c>
      <c r="G86" s="1">
        <f>dane_7[[#This Row],[Nr próbki]]/($G$1+1)</f>
        <v>8.4915084915084912E-2</v>
      </c>
      <c r="H86" s="1">
        <f>(dane_7[[#This Row],[Logarytm naturalny]]-$I$2)/$J$2</f>
        <v>-1.8703138686424217</v>
      </c>
      <c r="M86" s="1">
        <f t="shared" si="1"/>
        <v>3.0720122384851938E-2</v>
      </c>
    </row>
    <row r="87" spans="1:13" x14ac:dyDescent="0.25">
      <c r="A87" s="1">
        <v>395.1</v>
      </c>
      <c r="B87" s="1">
        <v>395.1</v>
      </c>
      <c r="C87" s="1">
        <f>LN(dane_7[[#This Row],[Dane wejściowe posortowane]])</f>
        <v>5.9791388974173447</v>
      </c>
      <c r="D87" s="1">
        <v>86</v>
      </c>
      <c r="G87" s="1">
        <f>dane_7[[#This Row],[Nr próbki]]/($G$1+1)</f>
        <v>8.5914085914085919E-2</v>
      </c>
      <c r="H87" s="1">
        <f>(dane_7[[#This Row],[Logarytm naturalny]]-$I$2)/$J$2</f>
        <v>-1.8703138686424217</v>
      </c>
      <c r="M87" s="1">
        <f t="shared" si="1"/>
        <v>3.0720122384851938E-2</v>
      </c>
    </row>
    <row r="88" spans="1:13" x14ac:dyDescent="0.25">
      <c r="A88" s="1">
        <v>395.2</v>
      </c>
      <c r="B88" s="1">
        <v>395.2</v>
      </c>
      <c r="C88" s="1">
        <f>LN(dane_7[[#This Row],[Dane wejściowe posortowane]])</f>
        <v>5.9793919658737131</v>
      </c>
      <c r="D88" s="1">
        <v>87</v>
      </c>
      <c r="G88" s="1">
        <f>dane_7[[#This Row],[Nr próbki]]/($G$1+1)</f>
        <v>8.6913086913086912E-2</v>
      </c>
      <c r="H88" s="1">
        <f>(dane_7[[#This Row],[Logarytm naturalny]]-$I$2)/$J$2</f>
        <v>-1.8354657622016795</v>
      </c>
      <c r="M88" s="1">
        <f t="shared" si="1"/>
        <v>3.321835378323558E-2</v>
      </c>
    </row>
    <row r="89" spans="1:13" x14ac:dyDescent="0.25">
      <c r="A89" s="1">
        <v>395.2</v>
      </c>
      <c r="B89" s="1">
        <v>395.2</v>
      </c>
      <c r="C89" s="1">
        <f>LN(dane_7[[#This Row],[Dane wejściowe posortowane]])</f>
        <v>5.9793919658737131</v>
      </c>
      <c r="D89" s="1">
        <v>88</v>
      </c>
      <c r="G89" s="1">
        <f>dane_7[[#This Row],[Nr próbki]]/($G$1+1)</f>
        <v>8.7912087912087919E-2</v>
      </c>
      <c r="H89" s="1">
        <f>(dane_7[[#This Row],[Logarytm naturalny]]-$I$2)/$J$2</f>
        <v>-1.8354657622016795</v>
      </c>
      <c r="M89" s="1">
        <f t="shared" si="1"/>
        <v>3.321835378323558E-2</v>
      </c>
    </row>
    <row r="90" spans="1:13" x14ac:dyDescent="0.25">
      <c r="A90" s="1">
        <v>395.2</v>
      </c>
      <c r="B90" s="1">
        <v>395.2</v>
      </c>
      <c r="C90" s="1">
        <f>LN(dane_7[[#This Row],[Dane wejściowe posortowane]])</f>
        <v>5.9793919658737131</v>
      </c>
      <c r="D90" s="1">
        <v>89</v>
      </c>
      <c r="G90" s="1">
        <f>dane_7[[#This Row],[Nr próbki]]/($G$1+1)</f>
        <v>8.8911088911088912E-2</v>
      </c>
      <c r="H90" s="1">
        <f>(dane_7[[#This Row],[Logarytm naturalny]]-$I$2)/$J$2</f>
        <v>-1.8354657622016795</v>
      </c>
      <c r="M90" s="1">
        <f t="shared" si="1"/>
        <v>3.321835378323558E-2</v>
      </c>
    </row>
    <row r="91" spans="1:13" x14ac:dyDescent="0.25">
      <c r="A91" s="1">
        <v>395.2</v>
      </c>
      <c r="B91" s="1">
        <v>395.2</v>
      </c>
      <c r="C91" s="1">
        <f>LN(dane_7[[#This Row],[Dane wejściowe posortowane]])</f>
        <v>5.9793919658737131</v>
      </c>
      <c r="D91" s="1">
        <v>90</v>
      </c>
      <c r="G91" s="1">
        <f>dane_7[[#This Row],[Nr próbki]]/($G$1+1)</f>
        <v>8.9910089910089905E-2</v>
      </c>
      <c r="H91" s="1">
        <f>(dane_7[[#This Row],[Logarytm naturalny]]-$I$2)/$J$2</f>
        <v>-1.8354657622016795</v>
      </c>
      <c r="M91" s="1">
        <f t="shared" si="1"/>
        <v>3.321835378323558E-2</v>
      </c>
    </row>
    <row r="92" spans="1:13" x14ac:dyDescent="0.25">
      <c r="A92" s="1">
        <v>395.5</v>
      </c>
      <c r="B92" s="1">
        <v>395.5</v>
      </c>
      <c r="C92" s="1">
        <f>LN(dane_7[[#This Row],[Dane wejściowe posortowane]])</f>
        <v>5.9801507872077089</v>
      </c>
      <c r="D92" s="1">
        <v>91</v>
      </c>
      <c r="G92" s="1">
        <f>dane_7[[#This Row],[Nr próbki]]/($G$1+1)</f>
        <v>9.0909090909090912E-2</v>
      </c>
      <c r="H92" s="1">
        <f>(dane_7[[#This Row],[Logarytm naturalny]]-$I$2)/$J$2</f>
        <v>-1.7309743253941865</v>
      </c>
      <c r="M92" s="1">
        <f t="shared" si="1"/>
        <v>4.1728171898320156E-2</v>
      </c>
    </row>
    <row r="93" spans="1:13" x14ac:dyDescent="0.25">
      <c r="A93" s="1">
        <v>395.6</v>
      </c>
      <c r="B93" s="1">
        <v>395.6</v>
      </c>
      <c r="C93" s="1">
        <f>LN(dane_7[[#This Row],[Dane wejściowe posortowane]])</f>
        <v>5.9804035997485574</v>
      </c>
      <c r="D93" s="1">
        <v>92</v>
      </c>
      <c r="G93" s="1">
        <f>dane_7[[#This Row],[Nr próbki]]/($G$1+1)</f>
        <v>9.1908091908091905E-2</v>
      </c>
      <c r="H93" s="1">
        <f>(dane_7[[#This Row],[Logarytm naturalny]]-$I$2)/$J$2</f>
        <v>-1.6961614591070566</v>
      </c>
      <c r="M93" s="1">
        <f t="shared" si="1"/>
        <v>4.4927653556320807E-2</v>
      </c>
    </row>
    <row r="94" spans="1:13" x14ac:dyDescent="0.25">
      <c r="A94" s="1">
        <v>395.7</v>
      </c>
      <c r="B94" s="1">
        <v>395.7</v>
      </c>
      <c r="C94" s="1">
        <f>LN(dane_7[[#This Row],[Dane wejściowe posortowane]])</f>
        <v>5.9806563483913786</v>
      </c>
      <c r="D94" s="1">
        <v>93</v>
      </c>
      <c r="G94" s="1">
        <f>dane_7[[#This Row],[Nr próbki]]/($G$1+1)</f>
        <v>9.2907092907092911E-2</v>
      </c>
      <c r="H94" s="1">
        <f>(dane_7[[#This Row],[Logarytm naturalny]]-$I$2)/$J$2</f>
        <v>-1.6613573917247335</v>
      </c>
      <c r="M94" s="1">
        <f t="shared" si="1"/>
        <v>4.8320844914228625E-2</v>
      </c>
    </row>
    <row r="95" spans="1:13" x14ac:dyDescent="0.25">
      <c r="A95" s="1">
        <v>395.7</v>
      </c>
      <c r="B95" s="1">
        <v>395.7</v>
      </c>
      <c r="C95" s="1">
        <f>LN(dane_7[[#This Row],[Dane wejściowe posortowane]])</f>
        <v>5.9806563483913786</v>
      </c>
      <c r="D95" s="1">
        <v>94</v>
      </c>
      <c r="G95" s="1">
        <f>dane_7[[#This Row],[Nr próbki]]/($G$1+1)</f>
        <v>9.3906093906093904E-2</v>
      </c>
      <c r="H95" s="1">
        <f>(dane_7[[#This Row],[Logarytm naturalny]]-$I$2)/$J$2</f>
        <v>-1.6613573917247335</v>
      </c>
      <c r="M95" s="1">
        <f t="shared" si="1"/>
        <v>4.8320844914228625E-2</v>
      </c>
    </row>
    <row r="96" spans="1:13" x14ac:dyDescent="0.25">
      <c r="A96" s="1">
        <v>395.7</v>
      </c>
      <c r="B96" s="1">
        <v>395.7</v>
      </c>
      <c r="C96" s="1">
        <f>LN(dane_7[[#This Row],[Dane wejściowe posortowane]])</f>
        <v>5.9806563483913786</v>
      </c>
      <c r="D96" s="1">
        <v>95</v>
      </c>
      <c r="G96" s="1">
        <f>dane_7[[#This Row],[Nr próbki]]/($G$1+1)</f>
        <v>9.4905094905094911E-2</v>
      </c>
      <c r="H96" s="1">
        <f>(dane_7[[#This Row],[Logarytm naturalny]]-$I$2)/$J$2</f>
        <v>-1.6613573917247335</v>
      </c>
      <c r="M96" s="1">
        <f t="shared" si="1"/>
        <v>4.8320844914228625E-2</v>
      </c>
    </row>
    <row r="97" spans="1:13" x14ac:dyDescent="0.25">
      <c r="A97" s="1">
        <v>395.8</v>
      </c>
      <c r="B97" s="1">
        <v>395.8</v>
      </c>
      <c r="C97" s="1">
        <f>LN(dane_7[[#This Row],[Dane wejściowe posortowane]])</f>
        <v>5.9809090331684658</v>
      </c>
      <c r="D97" s="1">
        <v>96</v>
      </c>
      <c r="G97" s="1">
        <f>dane_7[[#This Row],[Nr próbki]]/($G$1+1)</f>
        <v>9.5904095904095904E-2</v>
      </c>
      <c r="H97" s="1">
        <f>(dane_7[[#This Row],[Logarytm naturalny]]-$I$2)/$J$2</f>
        <v>-1.6265621188003585</v>
      </c>
      <c r="M97" s="1">
        <f t="shared" si="1"/>
        <v>5.1915065103293127E-2</v>
      </c>
    </row>
    <row r="98" spans="1:13" x14ac:dyDescent="0.25">
      <c r="A98" s="1">
        <v>395.9</v>
      </c>
      <c r="B98" s="1">
        <v>395.9</v>
      </c>
      <c r="C98" s="1">
        <f>LN(dane_7[[#This Row],[Dane wejściowe posortowane]])</f>
        <v>5.9811616541120847</v>
      </c>
      <c r="D98" s="1">
        <v>97</v>
      </c>
      <c r="G98" s="1">
        <f>dane_7[[#This Row],[Nr próbki]]/($G$1+1)</f>
        <v>9.6903096903096897E-2</v>
      </c>
      <c r="H98" s="1">
        <f>(dane_7[[#This Row],[Logarytm naturalny]]-$I$2)/$J$2</f>
        <v>-1.5917756358908648</v>
      </c>
      <c r="M98" s="1">
        <f t="shared" si="1"/>
        <v>5.5717563222301376E-2</v>
      </c>
    </row>
    <row r="99" spans="1:13" x14ac:dyDescent="0.25">
      <c r="A99" s="1">
        <v>395.9</v>
      </c>
      <c r="B99" s="1">
        <v>395.9</v>
      </c>
      <c r="C99" s="1">
        <f>LN(dane_7[[#This Row],[Dane wejściowe posortowane]])</f>
        <v>5.9811616541120847</v>
      </c>
      <c r="D99" s="1">
        <v>98</v>
      </c>
      <c r="G99" s="1">
        <f>dane_7[[#This Row],[Nr próbki]]/($G$1+1)</f>
        <v>9.7902097902097904E-2</v>
      </c>
      <c r="H99" s="1">
        <f>(dane_7[[#This Row],[Logarytm naturalny]]-$I$2)/$J$2</f>
        <v>-1.5917756358908648</v>
      </c>
      <c r="M99" s="1">
        <f t="shared" si="1"/>
        <v>5.5717563222301376E-2</v>
      </c>
    </row>
    <row r="100" spans="1:13" x14ac:dyDescent="0.25">
      <c r="A100" s="1">
        <v>395.9</v>
      </c>
      <c r="B100" s="1">
        <v>395.9</v>
      </c>
      <c r="C100" s="1">
        <f>LN(dane_7[[#This Row],[Dane wejściowe posortowane]])</f>
        <v>5.9811616541120847</v>
      </c>
      <c r="D100" s="1">
        <v>99</v>
      </c>
      <c r="G100" s="1">
        <f>dane_7[[#This Row],[Nr próbki]]/($G$1+1)</f>
        <v>9.8901098901098897E-2</v>
      </c>
      <c r="H100" s="1">
        <f>(dane_7[[#This Row],[Logarytm naturalny]]-$I$2)/$J$2</f>
        <v>-1.5917756358908648</v>
      </c>
      <c r="M100" s="1">
        <f t="shared" si="1"/>
        <v>5.5717563222301376E-2</v>
      </c>
    </row>
    <row r="101" spans="1:13" x14ac:dyDescent="0.25">
      <c r="A101" s="1">
        <v>396</v>
      </c>
      <c r="B101" s="1">
        <v>396</v>
      </c>
      <c r="C101" s="1">
        <f>LN(dane_7[[#This Row],[Dane wejściowe posortowane]])</f>
        <v>5.9814142112544806</v>
      </c>
      <c r="D101" s="1">
        <v>100</v>
      </c>
      <c r="G101" s="1">
        <f>dane_7[[#This Row],[Nr próbki]]/($G$1+1)</f>
        <v>9.9900099900099903E-2</v>
      </c>
      <c r="H101" s="1">
        <f>(dane_7[[#This Row],[Logarytm naturalny]]-$I$2)/$J$2</f>
        <v>-1.556997938555998</v>
      </c>
      <c r="M101" s="1">
        <f t="shared" si="1"/>
        <v>5.9735487422625376E-2</v>
      </c>
    </row>
    <row r="102" spans="1:13" x14ac:dyDescent="0.25">
      <c r="A102" s="1">
        <v>396.1</v>
      </c>
      <c r="B102" s="1">
        <v>396.1</v>
      </c>
      <c r="C102" s="1">
        <f>LN(dane_7[[#This Row],[Dane wejściowe posortowane]])</f>
        <v>5.9816667046278713</v>
      </c>
      <c r="D102" s="1">
        <v>101</v>
      </c>
      <c r="G102" s="1">
        <f>dane_7[[#This Row],[Nr próbki]]/($G$1+1)</f>
        <v>0.1008991008991009</v>
      </c>
      <c r="H102" s="1">
        <f>(dane_7[[#This Row],[Logarytm naturalny]]-$I$2)/$J$2</f>
        <v>-1.5222290223592954</v>
      </c>
      <c r="M102" s="1">
        <f t="shared" si="1"/>
        <v>6.3975852750763618E-2</v>
      </c>
    </row>
    <row r="103" spans="1:13" x14ac:dyDescent="0.25">
      <c r="A103" s="1">
        <v>396.3</v>
      </c>
      <c r="B103" s="1">
        <v>396.3</v>
      </c>
      <c r="C103" s="1">
        <f>LN(dane_7[[#This Row],[Dane wejściowe posortowane]])</f>
        <v>5.9821715001963893</v>
      </c>
      <c r="D103" s="1">
        <v>102</v>
      </c>
      <c r="G103" s="1">
        <f>dane_7[[#This Row],[Nr próbki]]/($G$1+1)</f>
        <v>0.1018981018981019</v>
      </c>
      <c r="H103" s="1">
        <f>(dane_7[[#This Row],[Logarytm naturalny]]-$I$2)/$J$2</f>
        <v>-1.4527175156509211</v>
      </c>
      <c r="M103" s="1">
        <f t="shared" si="1"/>
        <v>7.315110086623576E-2</v>
      </c>
    </row>
    <row r="104" spans="1:13" x14ac:dyDescent="0.25">
      <c r="A104" s="1">
        <v>396.4</v>
      </c>
      <c r="B104" s="1">
        <v>396.4</v>
      </c>
      <c r="C104" s="1">
        <f>LN(dane_7[[#This Row],[Dane wejściowe posortowane]])</f>
        <v>5.9824238024558332</v>
      </c>
      <c r="D104" s="1">
        <v>103</v>
      </c>
      <c r="G104" s="1">
        <f>dane_7[[#This Row],[Nr próbki]]/($G$1+1)</f>
        <v>0.1028971028971029</v>
      </c>
      <c r="H104" s="1">
        <f>(dane_7[[#This Row],[Logarytm naturalny]]-$I$2)/$J$2</f>
        <v>-1.4179749162827129</v>
      </c>
      <c r="M104" s="1">
        <f t="shared" si="1"/>
        <v>7.8099044117566574E-2</v>
      </c>
    </row>
    <row r="105" spans="1:13" x14ac:dyDescent="0.25">
      <c r="A105" s="1">
        <v>396.4</v>
      </c>
      <c r="B105" s="1">
        <v>396.4</v>
      </c>
      <c r="C105" s="1">
        <f>LN(dane_7[[#This Row],[Dane wejściowe posortowane]])</f>
        <v>5.9824238024558332</v>
      </c>
      <c r="D105" s="1">
        <v>104</v>
      </c>
      <c r="G105" s="1">
        <f>dane_7[[#This Row],[Nr próbki]]/($G$1+1)</f>
        <v>0.1038961038961039</v>
      </c>
      <c r="H105" s="1">
        <f>(dane_7[[#This Row],[Logarytm naturalny]]-$I$2)/$J$2</f>
        <v>-1.4179749162827129</v>
      </c>
      <c r="M105" s="1">
        <f t="shared" si="1"/>
        <v>7.8099044117566574E-2</v>
      </c>
    </row>
    <row r="106" spans="1:13" x14ac:dyDescent="0.25">
      <c r="A106" s="1">
        <v>396.4</v>
      </c>
      <c r="B106" s="1">
        <v>396.4</v>
      </c>
      <c r="C106" s="1">
        <f>LN(dane_7[[#This Row],[Dane wejściowe posortowane]])</f>
        <v>5.9824238024558332</v>
      </c>
      <c r="D106" s="1">
        <v>105</v>
      </c>
      <c r="G106" s="1">
        <f>dane_7[[#This Row],[Nr próbki]]/($G$1+1)</f>
        <v>0.1048951048951049</v>
      </c>
      <c r="H106" s="1">
        <f>(dane_7[[#This Row],[Logarytm naturalny]]-$I$2)/$J$2</f>
        <v>-1.4179749162827129</v>
      </c>
      <c r="M106" s="1">
        <f t="shared" si="1"/>
        <v>7.8099044117566574E-2</v>
      </c>
    </row>
    <row r="107" spans="1:13" x14ac:dyDescent="0.25">
      <c r="A107" s="1">
        <v>396.5</v>
      </c>
      <c r="B107" s="1">
        <v>396.5</v>
      </c>
      <c r="C107" s="1">
        <f>LN(dane_7[[#This Row],[Dane wejściowe posortowane]])</f>
        <v>5.9826760410749023</v>
      </c>
      <c r="D107" s="1">
        <v>106</v>
      </c>
      <c r="G107" s="1">
        <f>dane_7[[#This Row],[Nr próbki]]/($G$1+1)</f>
        <v>0.10589410589410589</v>
      </c>
      <c r="H107" s="1">
        <f>(dane_7[[#This Row],[Logarytm naturalny]]-$I$2)/$J$2</f>
        <v>-1.3832410803399624</v>
      </c>
      <c r="M107" s="1">
        <f t="shared" si="1"/>
        <v>8.3295478702458361E-2</v>
      </c>
    </row>
    <row r="108" spans="1:13" x14ac:dyDescent="0.25">
      <c r="A108" s="1">
        <v>396.6</v>
      </c>
      <c r="B108" s="1">
        <v>396.6</v>
      </c>
      <c r="C108" s="1">
        <f>LN(dane_7[[#This Row],[Dane wejściowe posortowane]])</f>
        <v>5.9829282160856954</v>
      </c>
      <c r="D108" s="1">
        <v>107</v>
      </c>
      <c r="G108" s="1">
        <f>dane_7[[#This Row],[Nr próbki]]/($G$1+1)</f>
        <v>0.1068931068931069</v>
      </c>
      <c r="H108" s="1">
        <f>(dane_7[[#This Row],[Logarytm naturalny]]-$I$2)/$J$2</f>
        <v>-1.348516003402596</v>
      </c>
      <c r="M108" s="1">
        <f t="shared" si="1"/>
        <v>8.874623823363835E-2</v>
      </c>
    </row>
    <row r="109" spans="1:13" x14ac:dyDescent="0.25">
      <c r="A109" s="1">
        <v>396.6</v>
      </c>
      <c r="B109" s="1">
        <v>396.6</v>
      </c>
      <c r="C109" s="1">
        <f>LN(dane_7[[#This Row],[Dane wejściowe posortowane]])</f>
        <v>5.9829282160856954</v>
      </c>
      <c r="D109" s="1">
        <v>108</v>
      </c>
      <c r="G109" s="1">
        <f>dane_7[[#This Row],[Nr próbki]]/($G$1+1)</f>
        <v>0.10789210789210789</v>
      </c>
      <c r="H109" s="1">
        <f>(dane_7[[#This Row],[Logarytm naturalny]]-$I$2)/$J$2</f>
        <v>-1.348516003402596</v>
      </c>
      <c r="M109" s="1">
        <f t="shared" si="1"/>
        <v>8.874623823363835E-2</v>
      </c>
    </row>
    <row r="110" spans="1:13" x14ac:dyDescent="0.25">
      <c r="A110" s="1">
        <v>396.6</v>
      </c>
      <c r="B110" s="1">
        <v>396.6</v>
      </c>
      <c r="C110" s="1">
        <f>LN(dane_7[[#This Row],[Dane wejściowe posortowane]])</f>
        <v>5.9829282160856954</v>
      </c>
      <c r="D110" s="1">
        <v>109</v>
      </c>
      <c r="G110" s="1">
        <f>dane_7[[#This Row],[Nr próbki]]/($G$1+1)</f>
        <v>0.1088911088911089</v>
      </c>
      <c r="H110" s="1">
        <f>(dane_7[[#This Row],[Logarytm naturalny]]-$I$2)/$J$2</f>
        <v>-1.348516003402596</v>
      </c>
      <c r="M110" s="1">
        <f t="shared" si="1"/>
        <v>8.874623823363835E-2</v>
      </c>
    </row>
    <row r="111" spans="1:13" x14ac:dyDescent="0.25">
      <c r="A111" s="1">
        <v>396.7</v>
      </c>
      <c r="B111" s="1">
        <v>396.7</v>
      </c>
      <c r="C111" s="1">
        <f>LN(dane_7[[#This Row],[Dane wejściowe posortowane]])</f>
        <v>5.9831803275202846</v>
      </c>
      <c r="D111" s="1">
        <v>110</v>
      </c>
      <c r="G111" s="1">
        <f>dane_7[[#This Row],[Nr próbki]]/($G$1+1)</f>
        <v>0.10989010989010989</v>
      </c>
      <c r="H111" s="1">
        <f>(dane_7[[#This Row],[Logarytm naturalny]]-$I$2)/$J$2</f>
        <v>-1.313799681054209</v>
      </c>
      <c r="M111" s="1">
        <f t="shared" si="1"/>
        <v>9.4456812497884332E-2</v>
      </c>
    </row>
    <row r="112" spans="1:13" x14ac:dyDescent="0.25">
      <c r="A112" s="1">
        <v>396.7</v>
      </c>
      <c r="B112" s="1">
        <v>396.7</v>
      </c>
      <c r="C112" s="1">
        <f>LN(dane_7[[#This Row],[Dane wejściowe posortowane]])</f>
        <v>5.9831803275202846</v>
      </c>
      <c r="D112" s="1">
        <v>111</v>
      </c>
      <c r="G112" s="1">
        <f>dane_7[[#This Row],[Nr próbki]]/($G$1+1)</f>
        <v>0.1108891108891109</v>
      </c>
      <c r="H112" s="1">
        <f>(dane_7[[#This Row],[Logarytm naturalny]]-$I$2)/$J$2</f>
        <v>-1.313799681054209</v>
      </c>
      <c r="M112" s="1">
        <f t="shared" si="1"/>
        <v>9.4456812497884332E-2</v>
      </c>
    </row>
    <row r="113" spans="1:13" x14ac:dyDescent="0.25">
      <c r="A113" s="1">
        <v>396.7</v>
      </c>
      <c r="B113" s="1">
        <v>396.7</v>
      </c>
      <c r="C113" s="1">
        <f>LN(dane_7[[#This Row],[Dane wejściowe posortowane]])</f>
        <v>5.9831803275202846</v>
      </c>
      <c r="D113" s="1">
        <v>112</v>
      </c>
      <c r="G113" s="1">
        <f>dane_7[[#This Row],[Nr próbki]]/($G$1+1)</f>
        <v>0.11188811188811189</v>
      </c>
      <c r="H113" s="1">
        <f>(dane_7[[#This Row],[Logarytm naturalny]]-$I$2)/$J$2</f>
        <v>-1.313799681054209</v>
      </c>
      <c r="M113" s="1">
        <f t="shared" si="1"/>
        <v>9.4456812497884332E-2</v>
      </c>
    </row>
    <row r="114" spans="1:13" x14ac:dyDescent="0.25">
      <c r="A114" s="1">
        <v>396.8</v>
      </c>
      <c r="B114" s="1">
        <v>396.8</v>
      </c>
      <c r="C114" s="1">
        <f>LN(dane_7[[#This Row],[Dane wejściowe posortowane]])</f>
        <v>5.9834323754107182</v>
      </c>
      <c r="D114" s="1">
        <v>113</v>
      </c>
      <c r="G114" s="1">
        <f>dane_7[[#This Row],[Nr próbki]]/($G$1+1)</f>
        <v>0.11288711288711288</v>
      </c>
      <c r="H114" s="1">
        <f>(dane_7[[#This Row],[Logarytm naturalny]]-$I$2)/$J$2</f>
        <v>-1.2790921088816982</v>
      </c>
      <c r="M114" s="1">
        <f t="shared" si="1"/>
        <v>0.1004323110534474</v>
      </c>
    </row>
    <row r="115" spans="1:13" x14ac:dyDescent="0.25">
      <c r="A115" s="1">
        <v>396.9</v>
      </c>
      <c r="B115" s="1">
        <v>396.9</v>
      </c>
      <c r="C115" s="1">
        <f>LN(dane_7[[#This Row],[Dane wejściowe posortowane]])</f>
        <v>5.9836843597890192</v>
      </c>
      <c r="D115" s="1">
        <v>114</v>
      </c>
      <c r="G115" s="1">
        <f>dane_7[[#This Row],[Nr próbki]]/($G$1+1)</f>
        <v>0.11388611388611389</v>
      </c>
      <c r="H115" s="1">
        <f>(dane_7[[#This Row],[Logarytm naturalny]]-$I$2)/$J$2</f>
        <v>-1.2443932824753863</v>
      </c>
      <c r="M115" s="1">
        <f t="shared" si="1"/>
        <v>0.10667742701505639</v>
      </c>
    </row>
    <row r="116" spans="1:13" x14ac:dyDescent="0.25">
      <c r="A116" s="1">
        <v>396.9</v>
      </c>
      <c r="B116" s="1">
        <v>396.9</v>
      </c>
      <c r="C116" s="1">
        <f>LN(dane_7[[#This Row],[Dane wejściowe posortowane]])</f>
        <v>5.9836843597890192</v>
      </c>
      <c r="D116" s="1">
        <v>115</v>
      </c>
      <c r="G116" s="1">
        <f>dane_7[[#This Row],[Nr próbki]]/($G$1+1)</f>
        <v>0.11488511488511488</v>
      </c>
      <c r="H116" s="1">
        <f>(dane_7[[#This Row],[Logarytm naturalny]]-$I$2)/$J$2</f>
        <v>-1.2443932824753863</v>
      </c>
      <c r="M116" s="1">
        <f t="shared" si="1"/>
        <v>0.10667742701505639</v>
      </c>
    </row>
    <row r="117" spans="1:13" x14ac:dyDescent="0.25">
      <c r="A117" s="1">
        <v>396.9</v>
      </c>
      <c r="B117" s="1">
        <v>396.9</v>
      </c>
      <c r="C117" s="1">
        <f>LN(dane_7[[#This Row],[Dane wejściowe posortowane]])</f>
        <v>5.9836843597890192</v>
      </c>
      <c r="D117" s="1">
        <v>116</v>
      </c>
      <c r="G117" s="1">
        <f>dane_7[[#This Row],[Nr próbki]]/($G$1+1)</f>
        <v>0.11588411588411589</v>
      </c>
      <c r="H117" s="1">
        <f>(dane_7[[#This Row],[Logarytm naturalny]]-$I$2)/$J$2</f>
        <v>-1.2443932824753863</v>
      </c>
      <c r="M117" s="1">
        <f t="shared" si="1"/>
        <v>0.10667742701505639</v>
      </c>
    </row>
    <row r="118" spans="1:13" x14ac:dyDescent="0.25">
      <c r="A118" s="1">
        <v>396.9</v>
      </c>
      <c r="B118" s="1">
        <v>396.9</v>
      </c>
      <c r="C118" s="1">
        <f>LN(dane_7[[#This Row],[Dane wejściowe posortowane]])</f>
        <v>5.9836843597890192</v>
      </c>
      <c r="D118" s="1">
        <v>117</v>
      </c>
      <c r="G118" s="1">
        <f>dane_7[[#This Row],[Nr próbki]]/($G$1+1)</f>
        <v>0.11688311688311688</v>
      </c>
      <c r="H118" s="1">
        <f>(dane_7[[#This Row],[Logarytm naturalny]]-$I$2)/$J$2</f>
        <v>-1.2443932824753863</v>
      </c>
      <c r="M118" s="1">
        <f t="shared" si="1"/>
        <v>0.10667742701505639</v>
      </c>
    </row>
    <row r="119" spans="1:13" x14ac:dyDescent="0.25">
      <c r="A119" s="1">
        <v>396.9</v>
      </c>
      <c r="B119" s="1">
        <v>396.9</v>
      </c>
      <c r="C119" s="1">
        <f>LN(dane_7[[#This Row],[Dane wejściowe posortowane]])</f>
        <v>5.9836843597890192</v>
      </c>
      <c r="D119" s="1">
        <v>118</v>
      </c>
      <c r="G119" s="1">
        <f>dane_7[[#This Row],[Nr próbki]]/($G$1+1)</f>
        <v>0.11788211788211789</v>
      </c>
      <c r="H119" s="1">
        <f>(dane_7[[#This Row],[Logarytm naturalny]]-$I$2)/$J$2</f>
        <v>-1.2443932824753863</v>
      </c>
      <c r="M119" s="1">
        <f t="shared" si="1"/>
        <v>0.10667742701505639</v>
      </c>
    </row>
    <row r="120" spans="1:13" x14ac:dyDescent="0.25">
      <c r="A120" s="1">
        <v>397</v>
      </c>
      <c r="B120" s="1">
        <v>397</v>
      </c>
      <c r="C120" s="1">
        <f>LN(dane_7[[#This Row],[Dane wejściowe posortowane]])</f>
        <v>5.9839362806871907</v>
      </c>
      <c r="D120" s="1">
        <v>119</v>
      </c>
      <c r="G120" s="1">
        <f>dane_7[[#This Row],[Nr próbki]]/($G$1+1)</f>
        <v>0.11888111888111888</v>
      </c>
      <c r="H120" s="1">
        <f>(dane_7[[#This Row],[Logarytm naturalny]]-$I$2)/$J$2</f>
        <v>-1.2097031974284076</v>
      </c>
      <c r="M120" s="1">
        <f t="shared" si="1"/>
        <v>0.11319640125695676</v>
      </c>
    </row>
    <row r="121" spans="1:13" x14ac:dyDescent="0.25">
      <c r="A121" s="1">
        <v>397</v>
      </c>
      <c r="B121" s="1">
        <v>397</v>
      </c>
      <c r="C121" s="1">
        <f>LN(dane_7[[#This Row],[Dane wejściowe posortowane]])</f>
        <v>5.9839362806871907</v>
      </c>
      <c r="D121" s="1">
        <v>120</v>
      </c>
      <c r="G121" s="1">
        <f>dane_7[[#This Row],[Nr próbki]]/($G$1+1)</f>
        <v>0.11988011988011989</v>
      </c>
      <c r="H121" s="1">
        <f>(dane_7[[#This Row],[Logarytm naturalny]]-$I$2)/$J$2</f>
        <v>-1.2097031974284076</v>
      </c>
      <c r="M121" s="1">
        <f t="shared" si="1"/>
        <v>0.11319640125695676</v>
      </c>
    </row>
    <row r="122" spans="1:13" x14ac:dyDescent="0.25">
      <c r="A122" s="1">
        <v>397</v>
      </c>
      <c r="B122" s="1">
        <v>397</v>
      </c>
      <c r="C122" s="1">
        <f>LN(dane_7[[#This Row],[Dane wejściowe posortowane]])</f>
        <v>5.9839362806871907</v>
      </c>
      <c r="D122" s="1">
        <v>121</v>
      </c>
      <c r="G122" s="1">
        <f>dane_7[[#This Row],[Nr próbki]]/($G$1+1)</f>
        <v>0.12087912087912088</v>
      </c>
      <c r="H122" s="1">
        <f>(dane_7[[#This Row],[Logarytm naturalny]]-$I$2)/$J$2</f>
        <v>-1.2097031974284076</v>
      </c>
      <c r="M122" s="1">
        <f t="shared" si="1"/>
        <v>0.11319640125695676</v>
      </c>
    </row>
    <row r="123" spans="1:13" x14ac:dyDescent="0.25">
      <c r="A123" s="1">
        <v>397</v>
      </c>
      <c r="B123" s="1">
        <v>397</v>
      </c>
      <c r="C123" s="1">
        <f>LN(dane_7[[#This Row],[Dane wejściowe posortowane]])</f>
        <v>5.9839362806871907</v>
      </c>
      <c r="D123" s="1">
        <v>122</v>
      </c>
      <c r="G123" s="1">
        <f>dane_7[[#This Row],[Nr próbki]]/($G$1+1)</f>
        <v>0.12187812187812187</v>
      </c>
      <c r="H123" s="1">
        <f>(dane_7[[#This Row],[Logarytm naturalny]]-$I$2)/$J$2</f>
        <v>-1.2097031974284076</v>
      </c>
      <c r="M123" s="1">
        <f t="shared" si="1"/>
        <v>0.11319640125695676</v>
      </c>
    </row>
    <row r="124" spans="1:13" x14ac:dyDescent="0.25">
      <c r="A124" s="1">
        <v>397</v>
      </c>
      <c r="B124" s="1">
        <v>397</v>
      </c>
      <c r="C124" s="1">
        <f>LN(dane_7[[#This Row],[Dane wejściowe posortowane]])</f>
        <v>5.9839362806871907</v>
      </c>
      <c r="D124" s="1">
        <v>123</v>
      </c>
      <c r="G124" s="1">
        <f>dane_7[[#This Row],[Nr próbki]]/($G$1+1)</f>
        <v>0.12287712287712288</v>
      </c>
      <c r="H124" s="1">
        <f>(dane_7[[#This Row],[Logarytm naturalny]]-$I$2)/$J$2</f>
        <v>-1.2097031974284076</v>
      </c>
      <c r="M124" s="1">
        <f t="shared" si="1"/>
        <v>0.11319640125695676</v>
      </c>
    </row>
    <row r="125" spans="1:13" x14ac:dyDescent="0.25">
      <c r="A125" s="1">
        <v>397.1</v>
      </c>
      <c r="B125" s="1">
        <v>397.1</v>
      </c>
      <c r="C125" s="1">
        <f>LN(dane_7[[#This Row],[Dane wejściowe posortowane]])</f>
        <v>5.9841881381372062</v>
      </c>
      <c r="D125" s="1">
        <v>124</v>
      </c>
      <c r="G125" s="1">
        <f>dane_7[[#This Row],[Nr próbki]]/($G$1+1)</f>
        <v>0.12387612387612387</v>
      </c>
      <c r="H125" s="1">
        <f>(dane_7[[#This Row],[Logarytm naturalny]]-$I$2)/$J$2</f>
        <v>-1.1750218493379336</v>
      </c>
      <c r="M125" s="1">
        <f t="shared" si="1"/>
        <v>0.11999298727081605</v>
      </c>
    </row>
    <row r="126" spans="1:13" x14ac:dyDescent="0.25">
      <c r="A126" s="1">
        <v>397.1</v>
      </c>
      <c r="B126" s="1">
        <v>397.1</v>
      </c>
      <c r="C126" s="1">
        <f>LN(dane_7[[#This Row],[Dane wejściowe posortowane]])</f>
        <v>5.9841881381372062</v>
      </c>
      <c r="D126" s="1">
        <v>125</v>
      </c>
      <c r="G126" s="1">
        <f>dane_7[[#This Row],[Nr próbki]]/($G$1+1)</f>
        <v>0.12487512487512488</v>
      </c>
      <c r="H126" s="1">
        <f>(dane_7[[#This Row],[Logarytm naturalny]]-$I$2)/$J$2</f>
        <v>-1.1750218493379336</v>
      </c>
      <c r="M126" s="1">
        <f t="shared" si="1"/>
        <v>0.11999298727081605</v>
      </c>
    </row>
    <row r="127" spans="1:13" x14ac:dyDescent="0.25">
      <c r="A127" s="1">
        <v>397.1</v>
      </c>
      <c r="B127" s="1">
        <v>397.1</v>
      </c>
      <c r="C127" s="1">
        <f>LN(dane_7[[#This Row],[Dane wejściowe posortowane]])</f>
        <v>5.9841881381372062</v>
      </c>
      <c r="D127" s="1">
        <v>126</v>
      </c>
      <c r="G127" s="1">
        <f>dane_7[[#This Row],[Nr próbki]]/($G$1+1)</f>
        <v>0.12587412587412589</v>
      </c>
      <c r="H127" s="1">
        <f>(dane_7[[#This Row],[Logarytm naturalny]]-$I$2)/$J$2</f>
        <v>-1.1750218493379336</v>
      </c>
      <c r="M127" s="1">
        <f t="shared" si="1"/>
        <v>0.11999298727081605</v>
      </c>
    </row>
    <row r="128" spans="1:13" x14ac:dyDescent="0.25">
      <c r="A128" s="1">
        <v>397.1</v>
      </c>
      <c r="B128" s="1">
        <v>397.1</v>
      </c>
      <c r="C128" s="1">
        <f>LN(dane_7[[#This Row],[Dane wejściowe posortowane]])</f>
        <v>5.9841881381372062</v>
      </c>
      <c r="D128" s="1">
        <v>127</v>
      </c>
      <c r="G128" s="1">
        <f>dane_7[[#This Row],[Nr próbki]]/($G$1+1)</f>
        <v>0.12687312687312688</v>
      </c>
      <c r="H128" s="1">
        <f>(dane_7[[#This Row],[Logarytm naturalny]]-$I$2)/$J$2</f>
        <v>-1.1750218493379336</v>
      </c>
      <c r="M128" s="1">
        <f t="shared" si="1"/>
        <v>0.11999298727081605</v>
      </c>
    </row>
    <row r="129" spans="1:13" x14ac:dyDescent="0.25">
      <c r="A129" s="1">
        <v>397.1</v>
      </c>
      <c r="B129" s="1">
        <v>397.1</v>
      </c>
      <c r="C129" s="1">
        <f>LN(dane_7[[#This Row],[Dane wejściowe posortowane]])</f>
        <v>5.9841881381372062</v>
      </c>
      <c r="D129" s="1">
        <v>128</v>
      </c>
      <c r="G129" s="1">
        <f>dane_7[[#This Row],[Nr próbki]]/($G$1+1)</f>
        <v>0.12787212787212787</v>
      </c>
      <c r="H129" s="1">
        <f>(dane_7[[#This Row],[Logarytm naturalny]]-$I$2)/$J$2</f>
        <v>-1.1750218493379336</v>
      </c>
      <c r="M129" s="1">
        <f t="shared" si="1"/>
        <v>0.11999298727081605</v>
      </c>
    </row>
    <row r="130" spans="1:13" x14ac:dyDescent="0.25">
      <c r="A130" s="1">
        <v>397.2</v>
      </c>
      <c r="B130" s="1">
        <v>397.2</v>
      </c>
      <c r="C130" s="1">
        <f>LN(dane_7[[#This Row],[Dane wejściowe posortowane]])</f>
        <v>5.9844399321710178</v>
      </c>
      <c r="D130" s="1">
        <v>129</v>
      </c>
      <c r="G130" s="1">
        <f>dane_7[[#This Row],[Nr próbki]]/($G$1+1)</f>
        <v>0.12887112887112886</v>
      </c>
      <c r="H130" s="1">
        <f>(dane_7[[#This Row],[Logarytm naturalny]]-$I$2)/$J$2</f>
        <v>-1.1403492338040702</v>
      </c>
      <c r="M130" s="1">
        <f t="shared" si="1"/>
        <v>0.12707041692189827</v>
      </c>
    </row>
    <row r="131" spans="1:13" x14ac:dyDescent="0.25">
      <c r="A131" s="1">
        <v>397.2</v>
      </c>
      <c r="B131" s="1">
        <v>397.2</v>
      </c>
      <c r="C131" s="1">
        <f>LN(dane_7[[#This Row],[Dane wejściowe posortowane]])</f>
        <v>5.9844399321710178</v>
      </c>
      <c r="D131" s="1">
        <v>130</v>
      </c>
      <c r="G131" s="1">
        <f>dane_7[[#This Row],[Nr próbki]]/($G$1+1)</f>
        <v>0.12987012987012986</v>
      </c>
      <c r="H131" s="1">
        <f>(dane_7[[#This Row],[Logarytm naturalny]]-$I$2)/$J$2</f>
        <v>-1.1403492338040702</v>
      </c>
      <c r="M131" s="1">
        <f t="shared" ref="M131:M194" si="2">LOGNORMDIST(B131:B1130,$I$2,$J$2)</f>
        <v>0.12707041692189827</v>
      </c>
    </row>
    <row r="132" spans="1:13" x14ac:dyDescent="0.25">
      <c r="A132" s="1">
        <v>397.2</v>
      </c>
      <c r="B132" s="1">
        <v>397.2</v>
      </c>
      <c r="C132" s="1">
        <f>LN(dane_7[[#This Row],[Dane wejściowe posortowane]])</f>
        <v>5.9844399321710178</v>
      </c>
      <c r="D132" s="1">
        <v>131</v>
      </c>
      <c r="G132" s="1">
        <f>dane_7[[#This Row],[Nr próbki]]/($G$1+1)</f>
        <v>0.13086913086913088</v>
      </c>
      <c r="H132" s="1">
        <f>(dane_7[[#This Row],[Logarytm naturalny]]-$I$2)/$J$2</f>
        <v>-1.1403492338040702</v>
      </c>
      <c r="M132" s="1">
        <f t="shared" si="2"/>
        <v>0.12707041692189827</v>
      </c>
    </row>
    <row r="133" spans="1:13" x14ac:dyDescent="0.25">
      <c r="A133" s="1">
        <v>397.2</v>
      </c>
      <c r="B133" s="1">
        <v>397.2</v>
      </c>
      <c r="C133" s="1">
        <f>LN(dane_7[[#This Row],[Dane wejściowe posortowane]])</f>
        <v>5.9844399321710178</v>
      </c>
      <c r="D133" s="1">
        <v>132</v>
      </c>
      <c r="G133" s="1">
        <f>dane_7[[#This Row],[Nr próbki]]/($G$1+1)</f>
        <v>0.13186813186813187</v>
      </c>
      <c r="H133" s="1">
        <f>(dane_7[[#This Row],[Logarytm naturalny]]-$I$2)/$J$2</f>
        <v>-1.1403492338040702</v>
      </c>
      <c r="M133" s="1">
        <f t="shared" si="2"/>
        <v>0.12707041692189827</v>
      </c>
    </row>
    <row r="134" spans="1:13" x14ac:dyDescent="0.25">
      <c r="A134" s="1">
        <v>397.3</v>
      </c>
      <c r="B134" s="1">
        <v>397.3</v>
      </c>
      <c r="C134" s="1">
        <f>LN(dane_7[[#This Row],[Dane wejściowe posortowane]])</f>
        <v>5.9846916628205529</v>
      </c>
      <c r="D134" s="1">
        <v>133</v>
      </c>
      <c r="G134" s="1">
        <f>dane_7[[#This Row],[Nr próbki]]/($G$1+1)</f>
        <v>0.13286713286713286</v>
      </c>
      <c r="H134" s="1">
        <f>(dane_7[[#This Row],[Logarytm naturalny]]-$I$2)/$J$2</f>
        <v>-1.105685346430348</v>
      </c>
      <c r="M134" s="1">
        <f t="shared" si="2"/>
        <v>0.13443136734891109</v>
      </c>
    </row>
    <row r="135" spans="1:13" x14ac:dyDescent="0.25">
      <c r="A135" s="1">
        <v>397.4</v>
      </c>
      <c r="B135" s="1">
        <v>397.4</v>
      </c>
      <c r="C135" s="1">
        <f>LN(dane_7[[#This Row],[Dane wejściowe posortowane]])</f>
        <v>5.9849433301177166</v>
      </c>
      <c r="D135" s="1">
        <v>134</v>
      </c>
      <c r="G135" s="1">
        <f>dane_7[[#This Row],[Nr próbki]]/($G$1+1)</f>
        <v>0.13386613386613386</v>
      </c>
      <c r="H135" s="1">
        <f>(dane_7[[#This Row],[Logarytm naturalny]]-$I$2)/$J$2</f>
        <v>-1.0710301828233559</v>
      </c>
      <c r="M135" s="1">
        <f t="shared" si="2"/>
        <v>0.14207792925562629</v>
      </c>
    </row>
    <row r="136" spans="1:13" x14ac:dyDescent="0.25">
      <c r="A136" s="1">
        <v>397.4</v>
      </c>
      <c r="B136" s="1">
        <v>397.4</v>
      </c>
      <c r="C136" s="1">
        <f>LN(dane_7[[#This Row],[Dane wejściowe posortowane]])</f>
        <v>5.9849433301177166</v>
      </c>
      <c r="D136" s="1">
        <v>135</v>
      </c>
      <c r="G136" s="1">
        <f>dane_7[[#This Row],[Nr próbki]]/($G$1+1)</f>
        <v>0.13486513486513488</v>
      </c>
      <c r="H136" s="1">
        <f>(dane_7[[#This Row],[Logarytm naturalny]]-$I$2)/$J$2</f>
        <v>-1.0710301828233559</v>
      </c>
      <c r="M136" s="1">
        <f t="shared" si="2"/>
        <v>0.14207792925562629</v>
      </c>
    </row>
    <row r="137" spans="1:13" x14ac:dyDescent="0.25">
      <c r="A137" s="1">
        <v>397.5</v>
      </c>
      <c r="B137" s="1">
        <v>397.5</v>
      </c>
      <c r="C137" s="1">
        <f>LN(dane_7[[#This Row],[Dane wejściowe posortowane]])</f>
        <v>5.9851949340943866</v>
      </c>
      <c r="D137" s="1">
        <v>136</v>
      </c>
      <c r="G137" s="1">
        <f>dane_7[[#This Row],[Nr próbki]]/($G$1+1)</f>
        <v>0.13586413586413587</v>
      </c>
      <c r="H137" s="1">
        <f>(dane_7[[#This Row],[Logarytm naturalny]]-$I$2)/$J$2</f>
        <v>-1.0363837385934733</v>
      </c>
      <c r="M137" s="1">
        <f t="shared" si="2"/>
        <v>0.15001157684097191</v>
      </c>
    </row>
    <row r="138" spans="1:13" x14ac:dyDescent="0.25">
      <c r="A138" s="1">
        <v>397.5</v>
      </c>
      <c r="B138" s="1">
        <v>397.5</v>
      </c>
      <c r="C138" s="1">
        <f>LN(dane_7[[#This Row],[Dane wejściowe posortowane]])</f>
        <v>5.9851949340943866</v>
      </c>
      <c r="D138" s="1">
        <v>137</v>
      </c>
      <c r="G138" s="1">
        <f>dane_7[[#This Row],[Nr próbki]]/($G$1+1)</f>
        <v>0.13686313686313686</v>
      </c>
      <c r="H138" s="1">
        <f>(dane_7[[#This Row],[Logarytm naturalny]]-$I$2)/$J$2</f>
        <v>-1.0363837385934733</v>
      </c>
      <c r="M138" s="1">
        <f t="shared" si="2"/>
        <v>0.15001157684097191</v>
      </c>
    </row>
    <row r="139" spans="1:13" x14ac:dyDescent="0.25">
      <c r="A139" s="1">
        <v>397.5</v>
      </c>
      <c r="B139" s="1">
        <v>397.5</v>
      </c>
      <c r="C139" s="1">
        <f>LN(dane_7[[#This Row],[Dane wejściowe posortowane]])</f>
        <v>5.9851949340943866</v>
      </c>
      <c r="D139" s="1">
        <v>138</v>
      </c>
      <c r="G139" s="1">
        <f>dane_7[[#This Row],[Nr próbki]]/($G$1+1)</f>
        <v>0.13786213786213786</v>
      </c>
      <c r="H139" s="1">
        <f>(dane_7[[#This Row],[Logarytm naturalny]]-$I$2)/$J$2</f>
        <v>-1.0363837385934733</v>
      </c>
      <c r="M139" s="1">
        <f t="shared" si="2"/>
        <v>0.15001157684097191</v>
      </c>
    </row>
    <row r="140" spans="1:13" x14ac:dyDescent="0.25">
      <c r="A140" s="1">
        <v>397.6</v>
      </c>
      <c r="B140" s="1">
        <v>397.6</v>
      </c>
      <c r="C140" s="1">
        <f>LN(dane_7[[#This Row],[Dane wejściowe posortowane]])</f>
        <v>5.9854464747824192</v>
      </c>
      <c r="D140" s="1">
        <v>139</v>
      </c>
      <c r="G140" s="1">
        <f>dane_7[[#This Row],[Nr próbki]]/($G$1+1)</f>
        <v>0.13886113886113885</v>
      </c>
      <c r="H140" s="1">
        <f>(dane_7[[#This Row],[Logarytm naturalny]]-$I$2)/$J$2</f>
        <v>-1.0017460093540158</v>
      </c>
      <c r="M140" s="1">
        <f t="shared" si="2"/>
        <v>0.15823313961262581</v>
      </c>
    </row>
    <row r="141" spans="1:13" x14ac:dyDescent="0.25">
      <c r="A141" s="1">
        <v>397.6</v>
      </c>
      <c r="B141" s="1">
        <v>397.6</v>
      </c>
      <c r="C141" s="1">
        <f>LN(dane_7[[#This Row],[Dane wejściowe posortowane]])</f>
        <v>5.9854464747824192</v>
      </c>
      <c r="D141" s="1">
        <v>140</v>
      </c>
      <c r="G141" s="1">
        <f>dane_7[[#This Row],[Nr próbki]]/($G$1+1)</f>
        <v>0.13986013986013987</v>
      </c>
      <c r="H141" s="1">
        <f>(dane_7[[#This Row],[Logarytm naturalny]]-$I$2)/$J$2</f>
        <v>-1.0017460093540158</v>
      </c>
      <c r="M141" s="1">
        <f t="shared" si="2"/>
        <v>0.15823313961262581</v>
      </c>
    </row>
    <row r="142" spans="1:13" x14ac:dyDescent="0.25">
      <c r="A142" s="1">
        <v>397.6</v>
      </c>
      <c r="B142" s="1">
        <v>397.6</v>
      </c>
      <c r="C142" s="1">
        <f>LN(dane_7[[#This Row],[Dane wejściowe posortowane]])</f>
        <v>5.9854464747824192</v>
      </c>
      <c r="D142" s="1">
        <v>141</v>
      </c>
      <c r="G142" s="1">
        <f>dane_7[[#This Row],[Nr próbki]]/($G$1+1)</f>
        <v>0.14085914085914086</v>
      </c>
      <c r="H142" s="1">
        <f>(dane_7[[#This Row],[Logarytm naturalny]]-$I$2)/$J$2</f>
        <v>-1.0017460093540158</v>
      </c>
      <c r="M142" s="1">
        <f t="shared" si="2"/>
        <v>0.15823313961262581</v>
      </c>
    </row>
    <row r="143" spans="1:13" x14ac:dyDescent="0.25">
      <c r="A143" s="1">
        <v>397.7</v>
      </c>
      <c r="B143" s="1">
        <v>397.7</v>
      </c>
      <c r="C143" s="1">
        <f>LN(dane_7[[#This Row],[Dane wejściowe posortowane]])</f>
        <v>5.9856979522136449</v>
      </c>
      <c r="D143" s="1">
        <v>142</v>
      </c>
      <c r="G143" s="1">
        <f>dane_7[[#This Row],[Nr próbki]]/($G$1+1)</f>
        <v>0.14185814185814186</v>
      </c>
      <c r="H143" s="1">
        <f>(dane_7[[#This Row],[Logarytm naturalny]]-$I$2)/$J$2</f>
        <v>-0.96711699072184465</v>
      </c>
      <c r="M143" s="1">
        <f t="shared" si="2"/>
        <v>0.16674277632304568</v>
      </c>
    </row>
    <row r="144" spans="1:13" x14ac:dyDescent="0.25">
      <c r="A144" s="1">
        <v>397.7</v>
      </c>
      <c r="B144" s="1">
        <v>397.7</v>
      </c>
      <c r="C144" s="1">
        <f>LN(dane_7[[#This Row],[Dane wejściowe posortowane]])</f>
        <v>5.9856979522136449</v>
      </c>
      <c r="D144" s="1">
        <v>143</v>
      </c>
      <c r="G144" s="1">
        <f>dane_7[[#This Row],[Nr próbki]]/($G$1+1)</f>
        <v>0.14285714285714285</v>
      </c>
      <c r="H144" s="1">
        <f>(dane_7[[#This Row],[Logarytm naturalny]]-$I$2)/$J$2</f>
        <v>-0.96711699072184465</v>
      </c>
      <c r="M144" s="1">
        <f t="shared" si="2"/>
        <v>0.16674277632304568</v>
      </c>
    </row>
    <row r="145" spans="1:13" x14ac:dyDescent="0.25">
      <c r="A145" s="1">
        <v>397.7</v>
      </c>
      <c r="B145" s="1">
        <v>397.7</v>
      </c>
      <c r="C145" s="1">
        <f>LN(dane_7[[#This Row],[Dane wejściowe posortowane]])</f>
        <v>5.9856979522136449</v>
      </c>
      <c r="D145" s="1">
        <v>144</v>
      </c>
      <c r="G145" s="1">
        <f>dane_7[[#This Row],[Nr próbki]]/($G$1+1)</f>
        <v>0.14385614385614387</v>
      </c>
      <c r="H145" s="1">
        <f>(dane_7[[#This Row],[Logarytm naturalny]]-$I$2)/$J$2</f>
        <v>-0.96711699072184465</v>
      </c>
      <c r="M145" s="1">
        <f t="shared" si="2"/>
        <v>0.16674277632304568</v>
      </c>
    </row>
    <row r="146" spans="1:13" x14ac:dyDescent="0.25">
      <c r="A146" s="1">
        <v>397.8</v>
      </c>
      <c r="B146" s="1">
        <v>397.8</v>
      </c>
      <c r="C146" s="1">
        <f>LN(dane_7[[#This Row],[Dane wejściowe posortowane]])</f>
        <v>5.985949366419872</v>
      </c>
      <c r="D146" s="1">
        <v>145</v>
      </c>
      <c r="G146" s="1">
        <f>dane_7[[#This Row],[Nr próbki]]/($G$1+1)</f>
        <v>0.14485514485514486</v>
      </c>
      <c r="H146" s="1">
        <f>(dane_7[[#This Row],[Logarytm naturalny]]-$I$2)/$J$2</f>
        <v>-0.93249667831687999</v>
      </c>
      <c r="M146" s="1">
        <f t="shared" si="2"/>
        <v>0.17553995126106298</v>
      </c>
    </row>
    <row r="147" spans="1:13" x14ac:dyDescent="0.25">
      <c r="A147" s="1">
        <v>397.8</v>
      </c>
      <c r="B147" s="1">
        <v>397.8</v>
      </c>
      <c r="C147" s="1">
        <f>LN(dane_7[[#This Row],[Dane wejściowe posortowane]])</f>
        <v>5.985949366419872</v>
      </c>
      <c r="D147" s="1">
        <v>146</v>
      </c>
      <c r="G147" s="1">
        <f>dane_7[[#This Row],[Nr próbki]]/($G$1+1)</f>
        <v>0.14585414585414586</v>
      </c>
      <c r="H147" s="1">
        <f>(dane_7[[#This Row],[Logarytm naturalny]]-$I$2)/$J$2</f>
        <v>-0.93249667831687999</v>
      </c>
      <c r="M147" s="1">
        <f t="shared" si="2"/>
        <v>0.17553995126106298</v>
      </c>
    </row>
    <row r="148" spans="1:13" x14ac:dyDescent="0.25">
      <c r="A148" s="1">
        <v>397.8</v>
      </c>
      <c r="B148" s="1">
        <v>397.8</v>
      </c>
      <c r="C148" s="1">
        <f>LN(dane_7[[#This Row],[Dane wejściowe posortowane]])</f>
        <v>5.985949366419872</v>
      </c>
      <c r="D148" s="1">
        <v>147</v>
      </c>
      <c r="G148" s="1">
        <f>dane_7[[#This Row],[Nr próbki]]/($G$1+1)</f>
        <v>0.14685314685314685</v>
      </c>
      <c r="H148" s="1">
        <f>(dane_7[[#This Row],[Logarytm naturalny]]-$I$2)/$J$2</f>
        <v>-0.93249667831687999</v>
      </c>
      <c r="M148" s="1">
        <f t="shared" si="2"/>
        <v>0.17553995126106298</v>
      </c>
    </row>
    <row r="149" spans="1:13" x14ac:dyDescent="0.25">
      <c r="A149" s="1">
        <v>397.8</v>
      </c>
      <c r="B149" s="1">
        <v>397.8</v>
      </c>
      <c r="C149" s="1">
        <f>LN(dane_7[[#This Row],[Dane wejściowe posortowane]])</f>
        <v>5.985949366419872</v>
      </c>
      <c r="D149" s="1">
        <v>148</v>
      </c>
      <c r="G149" s="1">
        <f>dane_7[[#This Row],[Nr próbki]]/($G$1+1)</f>
        <v>0.14785214785214784</v>
      </c>
      <c r="H149" s="1">
        <f>(dane_7[[#This Row],[Logarytm naturalny]]-$I$2)/$J$2</f>
        <v>-0.93249667831687999</v>
      </c>
      <c r="M149" s="1">
        <f t="shared" si="2"/>
        <v>0.17553995126106298</v>
      </c>
    </row>
    <row r="150" spans="1:13" x14ac:dyDescent="0.25">
      <c r="A150" s="1">
        <v>397.9</v>
      </c>
      <c r="B150" s="1">
        <v>397.9</v>
      </c>
      <c r="C150" s="1">
        <f>LN(dane_7[[#This Row],[Dane wejściowe posortowane]])</f>
        <v>5.9862007174328831</v>
      </c>
      <c r="D150" s="1">
        <v>149</v>
      </c>
      <c r="G150" s="1">
        <f>dane_7[[#This Row],[Nr próbki]]/($G$1+1)</f>
        <v>0.14885114885114886</v>
      </c>
      <c r="H150" s="1">
        <f>(dane_7[[#This Row],[Logarytm naturalny]]-$I$2)/$J$2</f>
        <v>-0.89788506776258781</v>
      </c>
      <c r="M150" s="1">
        <f t="shared" si="2"/>
        <v>0.18462341312183858</v>
      </c>
    </row>
    <row r="151" spans="1:13" x14ac:dyDescent="0.25">
      <c r="A151" s="1">
        <v>397.9</v>
      </c>
      <c r="B151" s="1">
        <v>397.9</v>
      </c>
      <c r="C151" s="1">
        <f>LN(dane_7[[#This Row],[Dane wejściowe posortowane]])</f>
        <v>5.9862007174328831</v>
      </c>
      <c r="D151" s="1">
        <v>150</v>
      </c>
      <c r="G151" s="1">
        <f>dane_7[[#This Row],[Nr próbki]]/($G$1+1)</f>
        <v>0.14985014985014986</v>
      </c>
      <c r="H151" s="1">
        <f>(dane_7[[#This Row],[Logarytm naturalny]]-$I$2)/$J$2</f>
        <v>-0.89788506776258781</v>
      </c>
      <c r="M151" s="1">
        <f t="shared" si="2"/>
        <v>0.18462341312183858</v>
      </c>
    </row>
    <row r="152" spans="1:13" x14ac:dyDescent="0.25">
      <c r="A152" s="1">
        <v>397.9</v>
      </c>
      <c r="B152" s="1">
        <v>397.9</v>
      </c>
      <c r="C152" s="1">
        <f>LN(dane_7[[#This Row],[Dane wejściowe posortowane]])</f>
        <v>5.9862007174328831</v>
      </c>
      <c r="D152" s="1">
        <v>151</v>
      </c>
      <c r="G152" s="1">
        <f>dane_7[[#This Row],[Nr próbki]]/($G$1+1)</f>
        <v>0.15084915084915085</v>
      </c>
      <c r="H152" s="1">
        <f>(dane_7[[#This Row],[Logarytm naturalny]]-$I$2)/$J$2</f>
        <v>-0.89788506776258781</v>
      </c>
      <c r="M152" s="1">
        <f t="shared" si="2"/>
        <v>0.18462341312183858</v>
      </c>
    </row>
    <row r="153" spans="1:13" x14ac:dyDescent="0.25">
      <c r="A153" s="1">
        <v>398</v>
      </c>
      <c r="B153" s="1">
        <v>398</v>
      </c>
      <c r="C153" s="1">
        <f>LN(dane_7[[#This Row],[Dane wejściowe posortowane]])</f>
        <v>5.9864520052844377</v>
      </c>
      <c r="D153" s="1">
        <v>152</v>
      </c>
      <c r="G153" s="1">
        <f>dane_7[[#This Row],[Nr próbki]]/($G$1+1)</f>
        <v>0.15184815184815184</v>
      </c>
      <c r="H153" s="1">
        <f>(dane_7[[#This Row],[Logarytm naturalny]]-$I$2)/$J$2</f>
        <v>-0.86328215468561464</v>
      </c>
      <c r="M153" s="1">
        <f t="shared" si="2"/>
        <v>0.19399117666744017</v>
      </c>
    </row>
    <row r="154" spans="1:13" x14ac:dyDescent="0.25">
      <c r="A154" s="1">
        <v>398</v>
      </c>
      <c r="B154" s="1">
        <v>398</v>
      </c>
      <c r="C154" s="1">
        <f>LN(dane_7[[#This Row],[Dane wejściowe posortowane]])</f>
        <v>5.9864520052844377</v>
      </c>
      <c r="D154" s="1">
        <v>153</v>
      </c>
      <c r="G154" s="1">
        <f>dane_7[[#This Row],[Nr próbki]]/($G$1+1)</f>
        <v>0.15284715284715283</v>
      </c>
      <c r="H154" s="1">
        <f>(dane_7[[#This Row],[Logarytm naturalny]]-$I$2)/$J$2</f>
        <v>-0.86328215468561464</v>
      </c>
      <c r="M154" s="1">
        <f t="shared" si="2"/>
        <v>0.19399117666744017</v>
      </c>
    </row>
    <row r="155" spans="1:13" x14ac:dyDescent="0.25">
      <c r="A155" s="1">
        <v>398.1</v>
      </c>
      <c r="B155" s="1">
        <v>398.1</v>
      </c>
      <c r="C155" s="1">
        <f>LN(dane_7[[#This Row],[Dane wejściowe posortowane]])</f>
        <v>5.9867032300062712</v>
      </c>
      <c r="D155" s="1">
        <v>154</v>
      </c>
      <c r="G155" s="1">
        <f>dane_7[[#This Row],[Nr próbki]]/($G$1+1)</f>
        <v>0.15384615384615385</v>
      </c>
      <c r="H155" s="1">
        <f>(dane_7[[#This Row],[Logarytm naturalny]]-$I$2)/$J$2</f>
        <v>-0.82868793471590874</v>
      </c>
      <c r="M155" s="1">
        <f t="shared" si="2"/>
        <v>0.20364050737589617</v>
      </c>
    </row>
    <row r="156" spans="1:13" x14ac:dyDescent="0.25">
      <c r="A156" s="1">
        <v>398.1</v>
      </c>
      <c r="B156" s="1">
        <v>398.1</v>
      </c>
      <c r="C156" s="1">
        <f>LN(dane_7[[#This Row],[Dane wejściowe posortowane]])</f>
        <v>5.9867032300062712</v>
      </c>
      <c r="D156" s="1">
        <v>155</v>
      </c>
      <c r="G156" s="1">
        <f>dane_7[[#This Row],[Nr próbki]]/($G$1+1)</f>
        <v>0.15484515484515485</v>
      </c>
      <c r="H156" s="1">
        <f>(dane_7[[#This Row],[Logarytm naturalny]]-$I$2)/$J$2</f>
        <v>-0.82868793471590874</v>
      </c>
      <c r="M156" s="1">
        <f t="shared" si="2"/>
        <v>0.20364050737589617</v>
      </c>
    </row>
    <row r="157" spans="1:13" x14ac:dyDescent="0.25">
      <c r="A157" s="1">
        <v>398.1</v>
      </c>
      <c r="B157" s="1">
        <v>398.1</v>
      </c>
      <c r="C157" s="1">
        <f>LN(dane_7[[#This Row],[Dane wejściowe posortowane]])</f>
        <v>5.9867032300062712</v>
      </c>
      <c r="D157" s="1">
        <v>156</v>
      </c>
      <c r="G157" s="1">
        <f>dane_7[[#This Row],[Nr próbki]]/($G$1+1)</f>
        <v>0.15584415584415584</v>
      </c>
      <c r="H157" s="1">
        <f>(dane_7[[#This Row],[Logarytm naturalny]]-$I$2)/$J$2</f>
        <v>-0.82868793471590874</v>
      </c>
      <c r="M157" s="1">
        <f t="shared" si="2"/>
        <v>0.20364050737589617</v>
      </c>
    </row>
    <row r="158" spans="1:13" x14ac:dyDescent="0.25">
      <c r="A158" s="1">
        <v>398.1</v>
      </c>
      <c r="B158" s="1">
        <v>398.1</v>
      </c>
      <c r="C158" s="1">
        <f>LN(dane_7[[#This Row],[Dane wejściowe posortowane]])</f>
        <v>5.9867032300062712</v>
      </c>
      <c r="D158" s="1">
        <v>157</v>
      </c>
      <c r="G158" s="1">
        <f>dane_7[[#This Row],[Nr próbki]]/($G$1+1)</f>
        <v>0.15684315684315683</v>
      </c>
      <c r="H158" s="1">
        <f>(dane_7[[#This Row],[Logarytm naturalny]]-$I$2)/$J$2</f>
        <v>-0.82868793471590874</v>
      </c>
      <c r="M158" s="1">
        <f t="shared" si="2"/>
        <v>0.20364050737589617</v>
      </c>
    </row>
    <row r="159" spans="1:13" x14ac:dyDescent="0.25">
      <c r="A159" s="1">
        <v>398.1</v>
      </c>
      <c r="B159" s="1">
        <v>398.1</v>
      </c>
      <c r="C159" s="1">
        <f>LN(dane_7[[#This Row],[Dane wejściowe posortowane]])</f>
        <v>5.9867032300062712</v>
      </c>
      <c r="D159" s="1">
        <v>158</v>
      </c>
      <c r="G159" s="1">
        <f>dane_7[[#This Row],[Nr próbki]]/($G$1+1)</f>
        <v>0.15784215784215785</v>
      </c>
      <c r="H159" s="1">
        <f>(dane_7[[#This Row],[Logarytm naturalny]]-$I$2)/$J$2</f>
        <v>-0.82868793471590874</v>
      </c>
      <c r="M159" s="1">
        <f t="shared" si="2"/>
        <v>0.20364050737589617</v>
      </c>
    </row>
    <row r="160" spans="1:13" x14ac:dyDescent="0.25">
      <c r="A160" s="1">
        <v>398.1</v>
      </c>
      <c r="B160" s="1">
        <v>398.1</v>
      </c>
      <c r="C160" s="1">
        <f>LN(dane_7[[#This Row],[Dane wejściowe posortowane]])</f>
        <v>5.9867032300062712</v>
      </c>
      <c r="D160" s="1">
        <v>159</v>
      </c>
      <c r="G160" s="1">
        <f>dane_7[[#This Row],[Nr próbki]]/($G$1+1)</f>
        <v>0.15884115884115885</v>
      </c>
      <c r="H160" s="1">
        <f>(dane_7[[#This Row],[Logarytm naturalny]]-$I$2)/$J$2</f>
        <v>-0.82868793471590874</v>
      </c>
      <c r="M160" s="1">
        <f t="shared" si="2"/>
        <v>0.20364050737589617</v>
      </c>
    </row>
    <row r="161" spans="1:13" x14ac:dyDescent="0.25">
      <c r="A161" s="1">
        <v>398.1</v>
      </c>
      <c r="B161" s="1">
        <v>398.1</v>
      </c>
      <c r="C161" s="1">
        <f>LN(dane_7[[#This Row],[Dane wejściowe posortowane]])</f>
        <v>5.9867032300062712</v>
      </c>
      <c r="D161" s="1">
        <v>160</v>
      </c>
      <c r="G161" s="1">
        <f>dane_7[[#This Row],[Nr próbki]]/($G$1+1)</f>
        <v>0.15984015984015984</v>
      </c>
      <c r="H161" s="1">
        <f>(dane_7[[#This Row],[Logarytm naturalny]]-$I$2)/$J$2</f>
        <v>-0.82868793471590874</v>
      </c>
      <c r="M161" s="1">
        <f t="shared" si="2"/>
        <v>0.20364050737589617</v>
      </c>
    </row>
    <row r="162" spans="1:13" x14ac:dyDescent="0.25">
      <c r="A162" s="1">
        <v>398.1</v>
      </c>
      <c r="B162" s="1">
        <v>398.1</v>
      </c>
      <c r="C162" s="1">
        <f>LN(dane_7[[#This Row],[Dane wejściowe posortowane]])</f>
        <v>5.9867032300062712</v>
      </c>
      <c r="D162" s="1">
        <v>161</v>
      </c>
      <c r="G162" s="1">
        <f>dane_7[[#This Row],[Nr próbki]]/($G$1+1)</f>
        <v>0.16083916083916083</v>
      </c>
      <c r="H162" s="1">
        <f>(dane_7[[#This Row],[Logarytm naturalny]]-$I$2)/$J$2</f>
        <v>-0.82868793471590874</v>
      </c>
      <c r="M162" s="1">
        <f t="shared" si="2"/>
        <v>0.20364050737589617</v>
      </c>
    </row>
    <row r="163" spans="1:13" x14ac:dyDescent="0.25">
      <c r="A163" s="1">
        <v>398.1</v>
      </c>
      <c r="B163" s="1">
        <v>398.1</v>
      </c>
      <c r="C163" s="1">
        <f>LN(dane_7[[#This Row],[Dane wejściowe posortowane]])</f>
        <v>5.9867032300062712</v>
      </c>
      <c r="D163" s="1">
        <v>162</v>
      </c>
      <c r="G163" s="1">
        <f>dane_7[[#This Row],[Nr próbki]]/($G$1+1)</f>
        <v>0.16183816183816183</v>
      </c>
      <c r="H163" s="1">
        <f>(dane_7[[#This Row],[Logarytm naturalny]]-$I$2)/$J$2</f>
        <v>-0.82868793471590874</v>
      </c>
      <c r="M163" s="1">
        <f t="shared" si="2"/>
        <v>0.20364050737589617</v>
      </c>
    </row>
    <row r="164" spans="1:13" x14ac:dyDescent="0.25">
      <c r="A164" s="1">
        <v>398.1</v>
      </c>
      <c r="B164" s="1">
        <v>398.1</v>
      </c>
      <c r="C164" s="1">
        <f>LN(dane_7[[#This Row],[Dane wejściowe posortowane]])</f>
        <v>5.9867032300062712</v>
      </c>
      <c r="D164" s="1">
        <v>163</v>
      </c>
      <c r="G164" s="1">
        <f>dane_7[[#This Row],[Nr próbki]]/($G$1+1)</f>
        <v>0.16283716283716285</v>
      </c>
      <c r="H164" s="1">
        <f>(dane_7[[#This Row],[Logarytm naturalny]]-$I$2)/$J$2</f>
        <v>-0.82868793471590874</v>
      </c>
      <c r="M164" s="1">
        <f t="shared" si="2"/>
        <v>0.20364050737589617</v>
      </c>
    </row>
    <row r="165" spans="1:13" x14ac:dyDescent="0.25">
      <c r="A165" s="1">
        <v>398.2</v>
      </c>
      <c r="B165" s="1">
        <v>398.2</v>
      </c>
      <c r="C165" s="1">
        <f>LN(dane_7[[#This Row],[Dane wejściowe posortowane]])</f>
        <v>5.9869543916300962</v>
      </c>
      <c r="D165" s="1">
        <v>164</v>
      </c>
      <c r="G165" s="1">
        <f>dane_7[[#This Row],[Nr próbki]]/($G$1+1)</f>
        <v>0.16383616383616384</v>
      </c>
      <c r="H165" s="1">
        <f>(dane_7[[#This Row],[Logarytm naturalny]]-$I$2)/$J$2</f>
        <v>-0.79410240348659866</v>
      </c>
      <c r="M165" s="1">
        <f t="shared" si="2"/>
        <v>0.21356790926137195</v>
      </c>
    </row>
    <row r="166" spans="1:13" x14ac:dyDescent="0.25">
      <c r="A166" s="1">
        <v>398.2</v>
      </c>
      <c r="B166" s="1">
        <v>398.2</v>
      </c>
      <c r="C166" s="1">
        <f>LN(dane_7[[#This Row],[Dane wejściowe posortowane]])</f>
        <v>5.9869543916300962</v>
      </c>
      <c r="D166" s="1">
        <v>165</v>
      </c>
      <c r="G166" s="1">
        <f>dane_7[[#This Row],[Nr próbki]]/($G$1+1)</f>
        <v>0.16483516483516483</v>
      </c>
      <c r="H166" s="1">
        <f>(dane_7[[#This Row],[Logarytm naturalny]]-$I$2)/$J$2</f>
        <v>-0.79410240348659866</v>
      </c>
      <c r="M166" s="1">
        <f t="shared" si="2"/>
        <v>0.21356790926137195</v>
      </c>
    </row>
    <row r="167" spans="1:13" x14ac:dyDescent="0.25">
      <c r="A167" s="1">
        <v>398.2</v>
      </c>
      <c r="B167" s="1">
        <v>398.2</v>
      </c>
      <c r="C167" s="1">
        <f>LN(dane_7[[#This Row],[Dane wejściowe posortowane]])</f>
        <v>5.9869543916300962</v>
      </c>
      <c r="D167" s="1">
        <v>166</v>
      </c>
      <c r="G167" s="1">
        <f>dane_7[[#This Row],[Nr próbki]]/($G$1+1)</f>
        <v>0.16583416583416583</v>
      </c>
      <c r="H167" s="1">
        <f>(dane_7[[#This Row],[Logarytm naturalny]]-$I$2)/$J$2</f>
        <v>-0.79410240348659866</v>
      </c>
      <c r="M167" s="1">
        <f t="shared" si="2"/>
        <v>0.21356790926137195</v>
      </c>
    </row>
    <row r="168" spans="1:13" x14ac:dyDescent="0.25">
      <c r="A168" s="1">
        <v>398.2</v>
      </c>
      <c r="B168" s="1">
        <v>398.2</v>
      </c>
      <c r="C168" s="1">
        <f>LN(dane_7[[#This Row],[Dane wejściowe posortowane]])</f>
        <v>5.9869543916300962</v>
      </c>
      <c r="D168" s="1">
        <v>167</v>
      </c>
      <c r="G168" s="1">
        <f>dane_7[[#This Row],[Nr próbki]]/($G$1+1)</f>
        <v>0.16683316683316685</v>
      </c>
      <c r="H168" s="1">
        <f>(dane_7[[#This Row],[Logarytm naturalny]]-$I$2)/$J$2</f>
        <v>-0.79410240348659866</v>
      </c>
      <c r="M168" s="1">
        <f t="shared" si="2"/>
        <v>0.21356790926137195</v>
      </c>
    </row>
    <row r="169" spans="1:13" x14ac:dyDescent="0.25">
      <c r="A169" s="1">
        <v>398.3</v>
      </c>
      <c r="B169" s="1">
        <v>398.3</v>
      </c>
      <c r="C169" s="1">
        <f>LN(dane_7[[#This Row],[Dane wejściowe posortowane]])</f>
        <v>5.9872054901875984</v>
      </c>
      <c r="D169" s="1">
        <v>168</v>
      </c>
      <c r="G169" s="1">
        <f>dane_7[[#This Row],[Nr próbki]]/($G$1+1)</f>
        <v>0.16783216783216784</v>
      </c>
      <c r="H169" s="1">
        <f>(dane_7[[#This Row],[Logarytm naturalny]]-$I$2)/$J$2</f>
        <v>-0.75952555663448196</v>
      </c>
      <c r="M169" s="1">
        <f t="shared" si="2"/>
        <v>0.22376911602995919</v>
      </c>
    </row>
    <row r="170" spans="1:13" x14ac:dyDescent="0.25">
      <c r="A170" s="1">
        <v>398.3</v>
      </c>
      <c r="B170" s="1">
        <v>398.3</v>
      </c>
      <c r="C170" s="1">
        <f>LN(dane_7[[#This Row],[Dane wejściowe posortowane]])</f>
        <v>5.9872054901875984</v>
      </c>
      <c r="D170" s="1">
        <v>169</v>
      </c>
      <c r="G170" s="1">
        <f>dane_7[[#This Row],[Nr próbki]]/($G$1+1)</f>
        <v>0.16883116883116883</v>
      </c>
      <c r="H170" s="1">
        <f>(dane_7[[#This Row],[Logarytm naturalny]]-$I$2)/$J$2</f>
        <v>-0.75952555663448196</v>
      </c>
      <c r="M170" s="1">
        <f t="shared" si="2"/>
        <v>0.22376911602995919</v>
      </c>
    </row>
    <row r="171" spans="1:13" x14ac:dyDescent="0.25">
      <c r="A171" s="1">
        <v>398.3</v>
      </c>
      <c r="B171" s="1">
        <v>398.3</v>
      </c>
      <c r="C171" s="1">
        <f>LN(dane_7[[#This Row],[Dane wejściowe posortowane]])</f>
        <v>5.9872054901875984</v>
      </c>
      <c r="D171" s="1">
        <v>170</v>
      </c>
      <c r="G171" s="1">
        <f>dane_7[[#This Row],[Nr próbki]]/($G$1+1)</f>
        <v>0.16983016983016982</v>
      </c>
      <c r="H171" s="1">
        <f>(dane_7[[#This Row],[Logarytm naturalny]]-$I$2)/$J$2</f>
        <v>-0.75952555663448196</v>
      </c>
      <c r="M171" s="1">
        <f t="shared" si="2"/>
        <v>0.22376911602995919</v>
      </c>
    </row>
    <row r="172" spans="1:13" x14ac:dyDescent="0.25">
      <c r="A172" s="1">
        <v>398.3</v>
      </c>
      <c r="B172" s="1">
        <v>398.3</v>
      </c>
      <c r="C172" s="1">
        <f>LN(dane_7[[#This Row],[Dane wejściowe posortowane]])</f>
        <v>5.9872054901875984</v>
      </c>
      <c r="D172" s="1">
        <v>171</v>
      </c>
      <c r="G172" s="1">
        <f>dane_7[[#This Row],[Nr próbki]]/($G$1+1)</f>
        <v>0.17082917082917082</v>
      </c>
      <c r="H172" s="1">
        <f>(dane_7[[#This Row],[Logarytm naturalny]]-$I$2)/$J$2</f>
        <v>-0.75952555663448196</v>
      </c>
      <c r="M172" s="1">
        <f t="shared" si="2"/>
        <v>0.22376911602995919</v>
      </c>
    </row>
    <row r="173" spans="1:13" x14ac:dyDescent="0.25">
      <c r="A173" s="1">
        <v>398.3</v>
      </c>
      <c r="B173" s="1">
        <v>398.3</v>
      </c>
      <c r="C173" s="1">
        <f>LN(dane_7[[#This Row],[Dane wejściowe posortowane]])</f>
        <v>5.9872054901875984</v>
      </c>
      <c r="D173" s="1">
        <v>172</v>
      </c>
      <c r="G173" s="1">
        <f>dane_7[[#This Row],[Nr próbki]]/($G$1+1)</f>
        <v>0.17182817182817184</v>
      </c>
      <c r="H173" s="1">
        <f>(dane_7[[#This Row],[Logarytm naturalny]]-$I$2)/$J$2</f>
        <v>-0.75952555663448196</v>
      </c>
      <c r="M173" s="1">
        <f t="shared" si="2"/>
        <v>0.22376911602995919</v>
      </c>
    </row>
    <row r="174" spans="1:13" x14ac:dyDescent="0.25">
      <c r="A174" s="1">
        <v>398.4</v>
      </c>
      <c r="B174" s="1">
        <v>398.4</v>
      </c>
      <c r="C174" s="1">
        <f>LN(dane_7[[#This Row],[Dane wejściowe posortowane]])</f>
        <v>5.9874565257104431</v>
      </c>
      <c r="D174" s="1">
        <v>173</v>
      </c>
      <c r="G174" s="1">
        <f>dane_7[[#This Row],[Nr próbki]]/($G$1+1)</f>
        <v>0.17282717282717283</v>
      </c>
      <c r="H174" s="1">
        <f>(dane_7[[#This Row],[Logarytm naturalny]]-$I$2)/$J$2</f>
        <v>-0.72495738979916902</v>
      </c>
      <c r="M174" s="1">
        <f t="shared" si="2"/>
        <v>0.23423908571676</v>
      </c>
    </row>
    <row r="175" spans="1:13" x14ac:dyDescent="0.25">
      <c r="A175" s="1">
        <v>398.4</v>
      </c>
      <c r="B175" s="1">
        <v>398.4</v>
      </c>
      <c r="C175" s="1">
        <f>LN(dane_7[[#This Row],[Dane wejściowe posortowane]])</f>
        <v>5.9874565257104431</v>
      </c>
      <c r="D175" s="1">
        <v>174</v>
      </c>
      <c r="G175" s="1">
        <f>dane_7[[#This Row],[Nr próbki]]/($G$1+1)</f>
        <v>0.17382617382617382</v>
      </c>
      <c r="H175" s="1">
        <f>(dane_7[[#This Row],[Logarytm naturalny]]-$I$2)/$J$2</f>
        <v>-0.72495738979916902</v>
      </c>
      <c r="M175" s="1">
        <f t="shared" si="2"/>
        <v>0.23423908571676</v>
      </c>
    </row>
    <row r="176" spans="1:13" x14ac:dyDescent="0.25">
      <c r="A176" s="1">
        <v>398.4</v>
      </c>
      <c r="B176" s="1">
        <v>398.4</v>
      </c>
      <c r="C176" s="1">
        <f>LN(dane_7[[#This Row],[Dane wejściowe posortowane]])</f>
        <v>5.9874565257104431</v>
      </c>
      <c r="D176" s="1">
        <v>175</v>
      </c>
      <c r="G176" s="1">
        <f>dane_7[[#This Row],[Nr próbki]]/($G$1+1)</f>
        <v>0.17482517482517482</v>
      </c>
      <c r="H176" s="1">
        <f>(dane_7[[#This Row],[Logarytm naturalny]]-$I$2)/$J$2</f>
        <v>-0.72495738979916902</v>
      </c>
      <c r="M176" s="1">
        <f t="shared" si="2"/>
        <v>0.23423908571676</v>
      </c>
    </row>
    <row r="177" spans="1:13" x14ac:dyDescent="0.25">
      <c r="A177" s="1">
        <v>398.4</v>
      </c>
      <c r="B177" s="1">
        <v>398.4</v>
      </c>
      <c r="C177" s="1">
        <f>LN(dane_7[[#This Row],[Dane wejściowe posortowane]])</f>
        <v>5.9874565257104431</v>
      </c>
      <c r="D177" s="1">
        <v>176</v>
      </c>
      <c r="G177" s="1">
        <f>dane_7[[#This Row],[Nr próbki]]/($G$1+1)</f>
        <v>0.17582417582417584</v>
      </c>
      <c r="H177" s="1">
        <f>(dane_7[[#This Row],[Logarytm naturalny]]-$I$2)/$J$2</f>
        <v>-0.72495738979916902</v>
      </c>
      <c r="M177" s="1">
        <f t="shared" si="2"/>
        <v>0.23423908571676</v>
      </c>
    </row>
    <row r="178" spans="1:13" x14ac:dyDescent="0.25">
      <c r="A178" s="1">
        <v>398.4</v>
      </c>
      <c r="B178" s="1">
        <v>398.4</v>
      </c>
      <c r="C178" s="1">
        <f>LN(dane_7[[#This Row],[Dane wejściowe posortowane]])</f>
        <v>5.9874565257104431</v>
      </c>
      <c r="D178" s="1">
        <v>177</v>
      </c>
      <c r="G178" s="1">
        <f>dane_7[[#This Row],[Nr próbki]]/($G$1+1)</f>
        <v>0.17682317682317683</v>
      </c>
      <c r="H178" s="1">
        <f>(dane_7[[#This Row],[Logarytm naturalny]]-$I$2)/$J$2</f>
        <v>-0.72495738979916902</v>
      </c>
      <c r="M178" s="1">
        <f t="shared" si="2"/>
        <v>0.23423908571676</v>
      </c>
    </row>
    <row r="179" spans="1:13" x14ac:dyDescent="0.25">
      <c r="A179" s="1">
        <v>398.4</v>
      </c>
      <c r="B179" s="1">
        <v>398.4</v>
      </c>
      <c r="C179" s="1">
        <f>LN(dane_7[[#This Row],[Dane wejściowe posortowane]])</f>
        <v>5.9874565257104431</v>
      </c>
      <c r="D179" s="1">
        <v>178</v>
      </c>
      <c r="G179" s="1">
        <f>dane_7[[#This Row],[Nr próbki]]/($G$1+1)</f>
        <v>0.17782217782217782</v>
      </c>
      <c r="H179" s="1">
        <f>(dane_7[[#This Row],[Logarytm naturalny]]-$I$2)/$J$2</f>
        <v>-0.72495738979916902</v>
      </c>
      <c r="M179" s="1">
        <f t="shared" si="2"/>
        <v>0.23423908571676</v>
      </c>
    </row>
    <row r="180" spans="1:13" x14ac:dyDescent="0.25">
      <c r="A180" s="1">
        <v>398.4</v>
      </c>
      <c r="B180" s="1">
        <v>398.4</v>
      </c>
      <c r="C180" s="1">
        <f>LN(dane_7[[#This Row],[Dane wejściowe posortowane]])</f>
        <v>5.9874565257104431</v>
      </c>
      <c r="D180" s="1">
        <v>179</v>
      </c>
      <c r="G180" s="1">
        <f>dane_7[[#This Row],[Nr próbki]]/($G$1+1)</f>
        <v>0.17882117882117882</v>
      </c>
      <c r="H180" s="1">
        <f>(dane_7[[#This Row],[Logarytm naturalny]]-$I$2)/$J$2</f>
        <v>-0.72495738979916902</v>
      </c>
      <c r="M180" s="1">
        <f t="shared" si="2"/>
        <v>0.23423908571676</v>
      </c>
    </row>
    <row r="181" spans="1:13" x14ac:dyDescent="0.25">
      <c r="A181" s="1">
        <v>398.4</v>
      </c>
      <c r="B181" s="1">
        <v>398.4</v>
      </c>
      <c r="C181" s="1">
        <f>LN(dane_7[[#This Row],[Dane wejściowe posortowane]])</f>
        <v>5.9874565257104431</v>
      </c>
      <c r="D181" s="1">
        <v>180</v>
      </c>
      <c r="G181" s="1">
        <f>dane_7[[#This Row],[Nr próbki]]/($G$1+1)</f>
        <v>0.17982017982017981</v>
      </c>
      <c r="H181" s="1">
        <f>(dane_7[[#This Row],[Logarytm naturalny]]-$I$2)/$J$2</f>
        <v>-0.72495738979916902</v>
      </c>
      <c r="M181" s="1">
        <f t="shared" si="2"/>
        <v>0.23423908571676</v>
      </c>
    </row>
    <row r="182" spans="1:13" x14ac:dyDescent="0.25">
      <c r="A182" s="1">
        <v>398.4</v>
      </c>
      <c r="B182" s="1">
        <v>398.4</v>
      </c>
      <c r="C182" s="1">
        <f>LN(dane_7[[#This Row],[Dane wejściowe posortowane]])</f>
        <v>5.9874565257104431</v>
      </c>
      <c r="D182" s="1">
        <v>181</v>
      </c>
      <c r="G182" s="1">
        <f>dane_7[[#This Row],[Nr próbki]]/($G$1+1)</f>
        <v>0.18081918081918083</v>
      </c>
      <c r="H182" s="1">
        <f>(dane_7[[#This Row],[Logarytm naturalny]]-$I$2)/$J$2</f>
        <v>-0.72495738979916902</v>
      </c>
      <c r="M182" s="1">
        <f t="shared" si="2"/>
        <v>0.23423908571676</v>
      </c>
    </row>
    <row r="183" spans="1:13" x14ac:dyDescent="0.25">
      <c r="A183" s="1">
        <v>398.5</v>
      </c>
      <c r="B183" s="1">
        <v>398.5</v>
      </c>
      <c r="C183" s="1">
        <f>LN(dane_7[[#This Row],[Dane wejściowe posortowane]])</f>
        <v>5.9877074982302698</v>
      </c>
      <c r="D183" s="1">
        <v>182</v>
      </c>
      <c r="G183" s="1">
        <f>dane_7[[#This Row],[Nr próbki]]/($G$1+1)</f>
        <v>0.18181818181818182</v>
      </c>
      <c r="H183" s="1">
        <f>(dane_7[[#This Row],[Logarytm naturalny]]-$I$2)/$J$2</f>
        <v>-0.69039789862381729</v>
      </c>
      <c r="M183" s="1">
        <f t="shared" si="2"/>
        <v>0.24497199892716504</v>
      </c>
    </row>
    <row r="184" spans="1:13" x14ac:dyDescent="0.25">
      <c r="A184" s="1">
        <v>398.5</v>
      </c>
      <c r="B184" s="1">
        <v>398.5</v>
      </c>
      <c r="C184" s="1">
        <f>LN(dane_7[[#This Row],[Dane wejściowe posortowane]])</f>
        <v>5.9877074982302698</v>
      </c>
      <c r="D184" s="1">
        <v>183</v>
      </c>
      <c r="G184" s="1">
        <f>dane_7[[#This Row],[Nr próbki]]/($G$1+1)</f>
        <v>0.18281718281718282</v>
      </c>
      <c r="H184" s="1">
        <f>(dane_7[[#This Row],[Logarytm naturalny]]-$I$2)/$J$2</f>
        <v>-0.69039789862381729</v>
      </c>
      <c r="M184" s="1">
        <f t="shared" si="2"/>
        <v>0.24497199892716504</v>
      </c>
    </row>
    <row r="185" spans="1:13" x14ac:dyDescent="0.25">
      <c r="A185" s="1">
        <v>398.5</v>
      </c>
      <c r="B185" s="1">
        <v>398.5</v>
      </c>
      <c r="C185" s="1">
        <f>LN(dane_7[[#This Row],[Dane wejściowe posortowane]])</f>
        <v>5.9877074982302698</v>
      </c>
      <c r="D185" s="1">
        <v>184</v>
      </c>
      <c r="G185" s="1">
        <f>dane_7[[#This Row],[Nr próbki]]/($G$1+1)</f>
        <v>0.18381618381618381</v>
      </c>
      <c r="H185" s="1">
        <f>(dane_7[[#This Row],[Logarytm naturalny]]-$I$2)/$J$2</f>
        <v>-0.69039789862381729</v>
      </c>
      <c r="M185" s="1">
        <f t="shared" si="2"/>
        <v>0.24497199892716504</v>
      </c>
    </row>
    <row r="186" spans="1:13" x14ac:dyDescent="0.25">
      <c r="A186" s="1">
        <v>398.5</v>
      </c>
      <c r="B186" s="1">
        <v>398.5</v>
      </c>
      <c r="C186" s="1">
        <f>LN(dane_7[[#This Row],[Dane wejściowe posortowane]])</f>
        <v>5.9877074982302698</v>
      </c>
      <c r="D186" s="1">
        <v>185</v>
      </c>
      <c r="G186" s="1">
        <f>dane_7[[#This Row],[Nr próbki]]/($G$1+1)</f>
        <v>0.1848151848151848</v>
      </c>
      <c r="H186" s="1">
        <f>(dane_7[[#This Row],[Logarytm naturalny]]-$I$2)/$J$2</f>
        <v>-0.69039789862381729</v>
      </c>
      <c r="M186" s="1">
        <f t="shared" si="2"/>
        <v>0.24497199892716504</v>
      </c>
    </row>
    <row r="187" spans="1:13" x14ac:dyDescent="0.25">
      <c r="A187" s="1">
        <v>398.5</v>
      </c>
      <c r="B187" s="1">
        <v>398.5</v>
      </c>
      <c r="C187" s="1">
        <f>LN(dane_7[[#This Row],[Dane wejściowe posortowane]])</f>
        <v>5.9877074982302698</v>
      </c>
      <c r="D187" s="1">
        <v>186</v>
      </c>
      <c r="G187" s="1">
        <f>dane_7[[#This Row],[Nr próbki]]/($G$1+1)</f>
        <v>0.18581418581418582</v>
      </c>
      <c r="H187" s="1">
        <f>(dane_7[[#This Row],[Logarytm naturalny]]-$I$2)/$J$2</f>
        <v>-0.69039789862381729</v>
      </c>
      <c r="M187" s="1">
        <f t="shared" si="2"/>
        <v>0.24497199892716504</v>
      </c>
    </row>
    <row r="188" spans="1:13" x14ac:dyDescent="0.25">
      <c r="A188" s="1">
        <v>398.5</v>
      </c>
      <c r="B188" s="1">
        <v>398.5</v>
      </c>
      <c r="C188" s="1">
        <f>LN(dane_7[[#This Row],[Dane wejściowe posortowane]])</f>
        <v>5.9877074982302698</v>
      </c>
      <c r="D188" s="1">
        <v>187</v>
      </c>
      <c r="G188" s="1">
        <f>dane_7[[#This Row],[Nr próbki]]/($G$1+1)</f>
        <v>0.18681318681318682</v>
      </c>
      <c r="H188" s="1">
        <f>(dane_7[[#This Row],[Logarytm naturalny]]-$I$2)/$J$2</f>
        <v>-0.69039789862381729</v>
      </c>
      <c r="M188" s="1">
        <f t="shared" si="2"/>
        <v>0.24497199892716504</v>
      </c>
    </row>
    <row r="189" spans="1:13" x14ac:dyDescent="0.25">
      <c r="A189" s="1">
        <v>398.5</v>
      </c>
      <c r="B189" s="1">
        <v>398.5</v>
      </c>
      <c r="C189" s="1">
        <f>LN(dane_7[[#This Row],[Dane wejściowe posortowane]])</f>
        <v>5.9877074982302698</v>
      </c>
      <c r="D189" s="1">
        <v>188</v>
      </c>
      <c r="G189" s="1">
        <f>dane_7[[#This Row],[Nr próbki]]/($G$1+1)</f>
        <v>0.18781218781218781</v>
      </c>
      <c r="H189" s="1">
        <f>(dane_7[[#This Row],[Logarytm naturalny]]-$I$2)/$J$2</f>
        <v>-0.69039789862381729</v>
      </c>
      <c r="M189" s="1">
        <f t="shared" si="2"/>
        <v>0.24497199892716504</v>
      </c>
    </row>
    <row r="190" spans="1:13" x14ac:dyDescent="0.25">
      <c r="A190" s="1">
        <v>398.5</v>
      </c>
      <c r="B190" s="1">
        <v>398.5</v>
      </c>
      <c r="C190" s="1">
        <f>LN(dane_7[[#This Row],[Dane wejściowe posortowane]])</f>
        <v>5.9877074982302698</v>
      </c>
      <c r="D190" s="1">
        <v>189</v>
      </c>
      <c r="G190" s="1">
        <f>dane_7[[#This Row],[Nr próbki]]/($G$1+1)</f>
        <v>0.1888111888111888</v>
      </c>
      <c r="H190" s="1">
        <f>(dane_7[[#This Row],[Logarytm naturalny]]-$I$2)/$J$2</f>
        <v>-0.69039789862381729</v>
      </c>
      <c r="M190" s="1">
        <f t="shared" si="2"/>
        <v>0.24497199892716504</v>
      </c>
    </row>
    <row r="191" spans="1:13" x14ac:dyDescent="0.25">
      <c r="A191" s="1">
        <v>398.6</v>
      </c>
      <c r="B191" s="1">
        <v>398.6</v>
      </c>
      <c r="C191" s="1">
        <f>LN(dane_7[[#This Row],[Dane wejściowe posortowane]])</f>
        <v>5.9879584077786943</v>
      </c>
      <c r="D191" s="1">
        <v>190</v>
      </c>
      <c r="G191" s="1">
        <f>dane_7[[#This Row],[Nr próbki]]/($G$1+1)</f>
        <v>0.18981018981018982</v>
      </c>
      <c r="H191" s="1">
        <f>(dane_7[[#This Row],[Logarytm naturalny]]-$I$2)/$J$2</f>
        <v>-0.65584707875488624</v>
      </c>
      <c r="M191" s="1">
        <f t="shared" si="2"/>
        <v>0.2559612607838585</v>
      </c>
    </row>
    <row r="192" spans="1:13" x14ac:dyDescent="0.25">
      <c r="A192" s="1">
        <v>398.6</v>
      </c>
      <c r="B192" s="1">
        <v>398.6</v>
      </c>
      <c r="C192" s="1">
        <f>LN(dane_7[[#This Row],[Dane wejściowe posortowane]])</f>
        <v>5.9879584077786943</v>
      </c>
      <c r="D192" s="1">
        <v>191</v>
      </c>
      <c r="G192" s="1">
        <f>dane_7[[#This Row],[Nr próbki]]/($G$1+1)</f>
        <v>0.19080919080919082</v>
      </c>
      <c r="H192" s="1">
        <f>(dane_7[[#This Row],[Logarytm naturalny]]-$I$2)/$J$2</f>
        <v>-0.65584707875488624</v>
      </c>
      <c r="M192" s="1">
        <f t="shared" si="2"/>
        <v>0.2559612607838585</v>
      </c>
    </row>
    <row r="193" spans="1:13" x14ac:dyDescent="0.25">
      <c r="A193" s="1">
        <v>398.6</v>
      </c>
      <c r="B193" s="1">
        <v>398.6</v>
      </c>
      <c r="C193" s="1">
        <f>LN(dane_7[[#This Row],[Dane wejściowe posortowane]])</f>
        <v>5.9879584077786943</v>
      </c>
      <c r="D193" s="1">
        <v>192</v>
      </c>
      <c r="G193" s="1">
        <f>dane_7[[#This Row],[Nr próbki]]/($G$1+1)</f>
        <v>0.19180819180819181</v>
      </c>
      <c r="H193" s="1">
        <f>(dane_7[[#This Row],[Logarytm naturalny]]-$I$2)/$J$2</f>
        <v>-0.65584707875488624</v>
      </c>
      <c r="M193" s="1">
        <f t="shared" si="2"/>
        <v>0.2559612607838585</v>
      </c>
    </row>
    <row r="194" spans="1:13" x14ac:dyDescent="0.25">
      <c r="A194" s="1">
        <v>398.6</v>
      </c>
      <c r="B194" s="1">
        <v>398.6</v>
      </c>
      <c r="C194" s="1">
        <f>LN(dane_7[[#This Row],[Dane wejściowe posortowane]])</f>
        <v>5.9879584077786943</v>
      </c>
      <c r="D194" s="1">
        <v>193</v>
      </c>
      <c r="G194" s="1">
        <f>dane_7[[#This Row],[Nr próbki]]/($G$1+1)</f>
        <v>0.1928071928071928</v>
      </c>
      <c r="H194" s="1">
        <f>(dane_7[[#This Row],[Logarytm naturalny]]-$I$2)/$J$2</f>
        <v>-0.65584707875488624</v>
      </c>
      <c r="M194" s="1">
        <f t="shared" si="2"/>
        <v>0.2559612607838585</v>
      </c>
    </row>
    <row r="195" spans="1:13" x14ac:dyDescent="0.25">
      <c r="A195" s="1">
        <v>398.6</v>
      </c>
      <c r="B195" s="1">
        <v>398.6</v>
      </c>
      <c r="C195" s="1">
        <f>LN(dane_7[[#This Row],[Dane wejściowe posortowane]])</f>
        <v>5.9879584077786943</v>
      </c>
      <c r="D195" s="1">
        <v>194</v>
      </c>
      <c r="G195" s="1">
        <f>dane_7[[#This Row],[Nr próbki]]/($G$1+1)</f>
        <v>0.19380619380619379</v>
      </c>
      <c r="H195" s="1">
        <f>(dane_7[[#This Row],[Logarytm naturalny]]-$I$2)/$J$2</f>
        <v>-0.65584707875488624</v>
      </c>
      <c r="M195" s="1">
        <f t="shared" ref="M195:M258" si="3">LOGNORMDIST(B195:B1194,$I$2,$J$2)</f>
        <v>0.2559612607838585</v>
      </c>
    </row>
    <row r="196" spans="1:13" x14ac:dyDescent="0.25">
      <c r="A196" s="1">
        <v>398.6</v>
      </c>
      <c r="B196" s="1">
        <v>398.6</v>
      </c>
      <c r="C196" s="1">
        <f>LN(dane_7[[#This Row],[Dane wejściowe posortowane]])</f>
        <v>5.9879584077786943</v>
      </c>
      <c r="D196" s="1">
        <v>195</v>
      </c>
      <c r="G196" s="1">
        <f>dane_7[[#This Row],[Nr próbki]]/($G$1+1)</f>
        <v>0.19480519480519481</v>
      </c>
      <c r="H196" s="1">
        <f>(dane_7[[#This Row],[Logarytm naturalny]]-$I$2)/$J$2</f>
        <v>-0.65584707875488624</v>
      </c>
      <c r="M196" s="1">
        <f t="shared" si="3"/>
        <v>0.2559612607838585</v>
      </c>
    </row>
    <row r="197" spans="1:13" x14ac:dyDescent="0.25">
      <c r="A197" s="1">
        <v>398.6</v>
      </c>
      <c r="B197" s="1">
        <v>398.6</v>
      </c>
      <c r="C197" s="1">
        <f>LN(dane_7[[#This Row],[Dane wejściowe posortowane]])</f>
        <v>5.9879584077786943</v>
      </c>
      <c r="D197" s="1">
        <v>196</v>
      </c>
      <c r="G197" s="1">
        <f>dane_7[[#This Row],[Nr próbki]]/($G$1+1)</f>
        <v>0.19580419580419581</v>
      </c>
      <c r="H197" s="1">
        <f>(dane_7[[#This Row],[Logarytm naturalny]]-$I$2)/$J$2</f>
        <v>-0.65584707875488624</v>
      </c>
      <c r="M197" s="1">
        <f t="shared" si="3"/>
        <v>0.2559612607838585</v>
      </c>
    </row>
    <row r="198" spans="1:13" x14ac:dyDescent="0.25">
      <c r="A198" s="1">
        <v>398.6</v>
      </c>
      <c r="B198" s="1">
        <v>398.6</v>
      </c>
      <c r="C198" s="1">
        <f>LN(dane_7[[#This Row],[Dane wejściowe posortowane]])</f>
        <v>5.9879584077786943</v>
      </c>
      <c r="D198" s="1">
        <v>197</v>
      </c>
      <c r="G198" s="1">
        <f>dane_7[[#This Row],[Nr próbki]]/($G$1+1)</f>
        <v>0.1968031968031968</v>
      </c>
      <c r="H198" s="1">
        <f>(dane_7[[#This Row],[Logarytm naturalny]]-$I$2)/$J$2</f>
        <v>-0.65584707875488624</v>
      </c>
      <c r="M198" s="1">
        <f t="shared" si="3"/>
        <v>0.2559612607838585</v>
      </c>
    </row>
    <row r="199" spans="1:13" x14ac:dyDescent="0.25">
      <c r="A199" s="1">
        <v>398.7</v>
      </c>
      <c r="B199" s="1">
        <v>398.7</v>
      </c>
      <c r="C199" s="1">
        <f>LN(dane_7[[#This Row],[Dane wejściowe posortowane]])</f>
        <v>5.9882092543873089</v>
      </c>
      <c r="D199" s="1">
        <v>198</v>
      </c>
      <c r="G199" s="1">
        <f>dane_7[[#This Row],[Nr próbki]]/($G$1+1)</f>
        <v>0.19780219780219779</v>
      </c>
      <c r="H199" s="1">
        <f>(dane_7[[#This Row],[Logarytm naturalny]]-$I$2)/$J$2</f>
        <v>-0.62130492584201535</v>
      </c>
      <c r="M199" s="1">
        <f t="shared" si="3"/>
        <v>0.26719950665566916</v>
      </c>
    </row>
    <row r="200" spans="1:13" x14ac:dyDescent="0.25">
      <c r="A200" s="1">
        <v>398.7</v>
      </c>
      <c r="B200" s="1">
        <v>398.7</v>
      </c>
      <c r="C200" s="1">
        <f>LN(dane_7[[#This Row],[Dane wejściowe posortowane]])</f>
        <v>5.9882092543873089</v>
      </c>
      <c r="D200" s="1">
        <v>199</v>
      </c>
      <c r="G200" s="1">
        <f>dane_7[[#This Row],[Nr próbki]]/($G$1+1)</f>
        <v>0.19880119880119881</v>
      </c>
      <c r="H200" s="1">
        <f>(dane_7[[#This Row],[Logarytm naturalny]]-$I$2)/$J$2</f>
        <v>-0.62130492584201535</v>
      </c>
      <c r="M200" s="1">
        <f t="shared" si="3"/>
        <v>0.26719950665566916</v>
      </c>
    </row>
    <row r="201" spans="1:13" x14ac:dyDescent="0.25">
      <c r="A201" s="1">
        <v>398.7</v>
      </c>
      <c r="B201" s="1">
        <v>398.7</v>
      </c>
      <c r="C201" s="1">
        <f>LN(dane_7[[#This Row],[Dane wejściowe posortowane]])</f>
        <v>5.9882092543873089</v>
      </c>
      <c r="D201" s="1">
        <v>200</v>
      </c>
      <c r="G201" s="1">
        <f>dane_7[[#This Row],[Nr próbki]]/($G$1+1)</f>
        <v>0.19980019980019981</v>
      </c>
      <c r="H201" s="1">
        <f>(dane_7[[#This Row],[Logarytm naturalny]]-$I$2)/$J$2</f>
        <v>-0.62130492584201535</v>
      </c>
      <c r="M201" s="1">
        <f t="shared" si="3"/>
        <v>0.26719950665566916</v>
      </c>
    </row>
    <row r="202" spans="1:13" x14ac:dyDescent="0.25">
      <c r="A202" s="1">
        <v>398.7</v>
      </c>
      <c r="B202" s="1">
        <v>398.7</v>
      </c>
      <c r="C202" s="1">
        <f>LN(dane_7[[#This Row],[Dane wejściowe posortowane]])</f>
        <v>5.9882092543873089</v>
      </c>
      <c r="D202" s="1">
        <v>201</v>
      </c>
      <c r="G202" s="1">
        <f>dane_7[[#This Row],[Nr próbki]]/($G$1+1)</f>
        <v>0.2007992007992008</v>
      </c>
      <c r="H202" s="1">
        <f>(dane_7[[#This Row],[Logarytm naturalny]]-$I$2)/$J$2</f>
        <v>-0.62130492584201535</v>
      </c>
      <c r="M202" s="1">
        <f t="shared" si="3"/>
        <v>0.26719950665566916</v>
      </c>
    </row>
    <row r="203" spans="1:13" x14ac:dyDescent="0.25">
      <c r="A203" s="1">
        <v>398.7</v>
      </c>
      <c r="B203" s="1">
        <v>398.7</v>
      </c>
      <c r="C203" s="1">
        <f>LN(dane_7[[#This Row],[Dane wejściowe posortowane]])</f>
        <v>5.9882092543873089</v>
      </c>
      <c r="D203" s="1">
        <v>202</v>
      </c>
      <c r="G203" s="1">
        <f>dane_7[[#This Row],[Nr próbki]]/($G$1+1)</f>
        <v>0.20179820179820179</v>
      </c>
      <c r="H203" s="1">
        <f>(dane_7[[#This Row],[Logarytm naturalny]]-$I$2)/$J$2</f>
        <v>-0.62130492584201535</v>
      </c>
      <c r="M203" s="1">
        <f t="shared" si="3"/>
        <v>0.26719950665566916</v>
      </c>
    </row>
    <row r="204" spans="1:13" x14ac:dyDescent="0.25">
      <c r="A204" s="1">
        <v>398.7</v>
      </c>
      <c r="B204" s="1">
        <v>398.7</v>
      </c>
      <c r="C204" s="1">
        <f>LN(dane_7[[#This Row],[Dane wejściowe posortowane]])</f>
        <v>5.9882092543873089</v>
      </c>
      <c r="D204" s="1">
        <v>203</v>
      </c>
      <c r="G204" s="1">
        <f>dane_7[[#This Row],[Nr próbki]]/($G$1+1)</f>
        <v>0.20279720279720279</v>
      </c>
      <c r="H204" s="1">
        <f>(dane_7[[#This Row],[Logarytm naturalny]]-$I$2)/$J$2</f>
        <v>-0.62130492584201535</v>
      </c>
      <c r="M204" s="1">
        <f t="shared" si="3"/>
        <v>0.26719950665566916</v>
      </c>
    </row>
    <row r="205" spans="1:13" x14ac:dyDescent="0.25">
      <c r="A205" s="1">
        <v>398.7</v>
      </c>
      <c r="B205" s="1">
        <v>398.7</v>
      </c>
      <c r="C205" s="1">
        <f>LN(dane_7[[#This Row],[Dane wejściowe posortowane]])</f>
        <v>5.9882092543873089</v>
      </c>
      <c r="D205" s="1">
        <v>204</v>
      </c>
      <c r="G205" s="1">
        <f>dane_7[[#This Row],[Nr próbki]]/($G$1+1)</f>
        <v>0.20379620379620381</v>
      </c>
      <c r="H205" s="1">
        <f>(dane_7[[#This Row],[Logarytm naturalny]]-$I$2)/$J$2</f>
        <v>-0.62130492584201535</v>
      </c>
      <c r="M205" s="1">
        <f t="shared" si="3"/>
        <v>0.26719950665566916</v>
      </c>
    </row>
    <row r="206" spans="1:13" x14ac:dyDescent="0.25">
      <c r="A206" s="1">
        <v>398.7</v>
      </c>
      <c r="B206" s="1">
        <v>398.7</v>
      </c>
      <c r="C206" s="1">
        <f>LN(dane_7[[#This Row],[Dane wejściowe posortowane]])</f>
        <v>5.9882092543873089</v>
      </c>
      <c r="D206" s="1">
        <v>205</v>
      </c>
      <c r="G206" s="1">
        <f>dane_7[[#This Row],[Nr próbki]]/($G$1+1)</f>
        <v>0.2047952047952048</v>
      </c>
      <c r="H206" s="1">
        <f>(dane_7[[#This Row],[Logarytm naturalny]]-$I$2)/$J$2</f>
        <v>-0.62130492584201535</v>
      </c>
      <c r="M206" s="1">
        <f t="shared" si="3"/>
        <v>0.26719950665566916</v>
      </c>
    </row>
    <row r="207" spans="1:13" x14ac:dyDescent="0.25">
      <c r="A207" s="1">
        <v>398.7</v>
      </c>
      <c r="B207" s="1">
        <v>398.7</v>
      </c>
      <c r="C207" s="1">
        <f>LN(dane_7[[#This Row],[Dane wejściowe posortowane]])</f>
        <v>5.9882092543873089</v>
      </c>
      <c r="D207" s="1">
        <v>206</v>
      </c>
      <c r="G207" s="1">
        <f>dane_7[[#This Row],[Nr próbki]]/($G$1+1)</f>
        <v>0.20579420579420579</v>
      </c>
      <c r="H207" s="1">
        <f>(dane_7[[#This Row],[Logarytm naturalny]]-$I$2)/$J$2</f>
        <v>-0.62130492584201535</v>
      </c>
      <c r="M207" s="1">
        <f t="shared" si="3"/>
        <v>0.26719950665566916</v>
      </c>
    </row>
    <row r="208" spans="1:13" x14ac:dyDescent="0.25">
      <c r="A208" s="1">
        <v>398.8</v>
      </c>
      <c r="B208" s="1">
        <v>398.8</v>
      </c>
      <c r="C208" s="1">
        <f>LN(dane_7[[#This Row],[Dane wejściowe posortowane]])</f>
        <v>5.9884600380876831</v>
      </c>
      <c r="D208" s="1">
        <v>207</v>
      </c>
      <c r="G208" s="1">
        <f>dane_7[[#This Row],[Nr próbki]]/($G$1+1)</f>
        <v>0.20679320679320679</v>
      </c>
      <c r="H208" s="1">
        <f>(dane_7[[#This Row],[Logarytm naturalny]]-$I$2)/$J$2</f>
        <v>-0.58677143553802402</v>
      </c>
      <c r="M208" s="1">
        <f t="shared" si="3"/>
        <v>0.27867861171912195</v>
      </c>
    </row>
    <row r="209" spans="1:13" x14ac:dyDescent="0.25">
      <c r="A209" s="1">
        <v>398.8</v>
      </c>
      <c r="B209" s="1">
        <v>398.8</v>
      </c>
      <c r="C209" s="1">
        <f>LN(dane_7[[#This Row],[Dane wejściowe posortowane]])</f>
        <v>5.9884600380876831</v>
      </c>
      <c r="D209" s="1">
        <v>208</v>
      </c>
      <c r="G209" s="1">
        <f>dane_7[[#This Row],[Nr próbki]]/($G$1+1)</f>
        <v>0.20779220779220781</v>
      </c>
      <c r="H209" s="1">
        <f>(dane_7[[#This Row],[Logarytm naturalny]]-$I$2)/$J$2</f>
        <v>-0.58677143553802402</v>
      </c>
      <c r="M209" s="1">
        <f t="shared" si="3"/>
        <v>0.27867861171912195</v>
      </c>
    </row>
    <row r="210" spans="1:13" x14ac:dyDescent="0.25">
      <c r="A210" s="1">
        <v>398.8</v>
      </c>
      <c r="B210" s="1">
        <v>398.8</v>
      </c>
      <c r="C210" s="1">
        <f>LN(dane_7[[#This Row],[Dane wejściowe posortowane]])</f>
        <v>5.9884600380876831</v>
      </c>
      <c r="D210" s="1">
        <v>209</v>
      </c>
      <c r="G210" s="1">
        <f>dane_7[[#This Row],[Nr próbki]]/($G$1+1)</f>
        <v>0.2087912087912088</v>
      </c>
      <c r="H210" s="1">
        <f>(dane_7[[#This Row],[Logarytm naturalny]]-$I$2)/$J$2</f>
        <v>-0.58677143553802402</v>
      </c>
      <c r="M210" s="1">
        <f t="shared" si="3"/>
        <v>0.27867861171912195</v>
      </c>
    </row>
    <row r="211" spans="1:13" x14ac:dyDescent="0.25">
      <c r="A211" s="1">
        <v>398.8</v>
      </c>
      <c r="B211" s="1">
        <v>398.8</v>
      </c>
      <c r="C211" s="1">
        <f>LN(dane_7[[#This Row],[Dane wejściowe posortowane]])</f>
        <v>5.9884600380876831</v>
      </c>
      <c r="D211" s="1">
        <v>210</v>
      </c>
      <c r="G211" s="1">
        <f>dane_7[[#This Row],[Nr próbki]]/($G$1+1)</f>
        <v>0.20979020979020979</v>
      </c>
      <c r="H211" s="1">
        <f>(dane_7[[#This Row],[Logarytm naturalny]]-$I$2)/$J$2</f>
        <v>-0.58677143553802402</v>
      </c>
      <c r="M211" s="1">
        <f t="shared" si="3"/>
        <v>0.27867861171912195</v>
      </c>
    </row>
    <row r="212" spans="1:13" x14ac:dyDescent="0.25">
      <c r="A212" s="1">
        <v>398.8</v>
      </c>
      <c r="B212" s="1">
        <v>398.8</v>
      </c>
      <c r="C212" s="1">
        <f>LN(dane_7[[#This Row],[Dane wejściowe posortowane]])</f>
        <v>5.9884600380876831</v>
      </c>
      <c r="D212" s="1">
        <v>211</v>
      </c>
      <c r="G212" s="1">
        <f>dane_7[[#This Row],[Nr próbki]]/($G$1+1)</f>
        <v>0.21078921078921078</v>
      </c>
      <c r="H212" s="1">
        <f>(dane_7[[#This Row],[Logarytm naturalny]]-$I$2)/$J$2</f>
        <v>-0.58677143553802402</v>
      </c>
      <c r="M212" s="1">
        <f t="shared" si="3"/>
        <v>0.27867861171912195</v>
      </c>
    </row>
    <row r="213" spans="1:13" x14ac:dyDescent="0.25">
      <c r="A213" s="1">
        <v>398.8</v>
      </c>
      <c r="B213" s="1">
        <v>398.8</v>
      </c>
      <c r="C213" s="1">
        <f>LN(dane_7[[#This Row],[Dane wejściowe posortowane]])</f>
        <v>5.9884600380876831</v>
      </c>
      <c r="D213" s="1">
        <v>212</v>
      </c>
      <c r="G213" s="1">
        <f>dane_7[[#This Row],[Nr próbki]]/($G$1+1)</f>
        <v>0.21178821178821178</v>
      </c>
      <c r="H213" s="1">
        <f>(dane_7[[#This Row],[Logarytm naturalny]]-$I$2)/$J$2</f>
        <v>-0.58677143553802402</v>
      </c>
      <c r="M213" s="1">
        <f t="shared" si="3"/>
        <v>0.27867861171912195</v>
      </c>
    </row>
    <row r="214" spans="1:13" x14ac:dyDescent="0.25">
      <c r="A214" s="1">
        <v>398.8</v>
      </c>
      <c r="B214" s="1">
        <v>398.8</v>
      </c>
      <c r="C214" s="1">
        <f>LN(dane_7[[#This Row],[Dane wejściowe posortowane]])</f>
        <v>5.9884600380876831</v>
      </c>
      <c r="D214" s="1">
        <v>213</v>
      </c>
      <c r="G214" s="1">
        <f>dane_7[[#This Row],[Nr próbki]]/($G$1+1)</f>
        <v>0.2127872127872128</v>
      </c>
      <c r="H214" s="1">
        <f>(dane_7[[#This Row],[Logarytm naturalny]]-$I$2)/$J$2</f>
        <v>-0.58677143553802402</v>
      </c>
      <c r="M214" s="1">
        <f t="shared" si="3"/>
        <v>0.27867861171912195</v>
      </c>
    </row>
    <row r="215" spans="1:13" x14ac:dyDescent="0.25">
      <c r="A215" s="1">
        <v>398.8</v>
      </c>
      <c r="B215" s="1">
        <v>398.8</v>
      </c>
      <c r="C215" s="1">
        <f>LN(dane_7[[#This Row],[Dane wejściowe posortowane]])</f>
        <v>5.9884600380876831</v>
      </c>
      <c r="D215" s="1">
        <v>214</v>
      </c>
      <c r="G215" s="1">
        <f>dane_7[[#This Row],[Nr próbki]]/($G$1+1)</f>
        <v>0.21378621378621379</v>
      </c>
      <c r="H215" s="1">
        <f>(dane_7[[#This Row],[Logarytm naturalny]]-$I$2)/$J$2</f>
        <v>-0.58677143553802402</v>
      </c>
      <c r="M215" s="1">
        <f t="shared" si="3"/>
        <v>0.27867861171912195</v>
      </c>
    </row>
    <row r="216" spans="1:13" x14ac:dyDescent="0.25">
      <c r="A216" s="1">
        <v>398.8</v>
      </c>
      <c r="B216" s="1">
        <v>398.8</v>
      </c>
      <c r="C216" s="1">
        <f>LN(dane_7[[#This Row],[Dane wejściowe posortowane]])</f>
        <v>5.9884600380876831</v>
      </c>
      <c r="D216" s="1">
        <v>215</v>
      </c>
      <c r="G216" s="1">
        <f>dane_7[[#This Row],[Nr próbki]]/($G$1+1)</f>
        <v>0.21478521478521478</v>
      </c>
      <c r="H216" s="1">
        <f>(dane_7[[#This Row],[Logarytm naturalny]]-$I$2)/$J$2</f>
        <v>-0.58677143553802402</v>
      </c>
      <c r="M216" s="1">
        <f t="shared" si="3"/>
        <v>0.27867861171912195</v>
      </c>
    </row>
    <row r="217" spans="1:13" x14ac:dyDescent="0.25">
      <c r="A217" s="1">
        <v>398.9</v>
      </c>
      <c r="B217" s="1">
        <v>398.9</v>
      </c>
      <c r="C217" s="1">
        <f>LN(dane_7[[#This Row],[Dane wejściowe posortowane]])</f>
        <v>5.9887107589113606</v>
      </c>
      <c r="D217" s="1">
        <v>216</v>
      </c>
      <c r="G217" s="1">
        <f>dane_7[[#This Row],[Nr próbki]]/($G$1+1)</f>
        <v>0.21578421578421578</v>
      </c>
      <c r="H217" s="1">
        <f>(dane_7[[#This Row],[Logarytm naturalny]]-$I$2)/$J$2</f>
        <v>-0.55224660349927857</v>
      </c>
      <c r="M217" s="1">
        <f t="shared" si="3"/>
        <v>0.29038970437690759</v>
      </c>
    </row>
    <row r="218" spans="1:13" x14ac:dyDescent="0.25">
      <c r="A218" s="1">
        <v>398.9</v>
      </c>
      <c r="B218" s="1">
        <v>398.9</v>
      </c>
      <c r="C218" s="1">
        <f>LN(dane_7[[#This Row],[Dane wejściowe posortowane]])</f>
        <v>5.9887107589113606</v>
      </c>
      <c r="D218" s="1">
        <v>217</v>
      </c>
      <c r="G218" s="1">
        <f>dane_7[[#This Row],[Nr próbki]]/($G$1+1)</f>
        <v>0.21678321678321677</v>
      </c>
      <c r="H218" s="1">
        <f>(dane_7[[#This Row],[Logarytm naturalny]]-$I$2)/$J$2</f>
        <v>-0.55224660349927857</v>
      </c>
      <c r="M218" s="1">
        <f t="shared" si="3"/>
        <v>0.29038970437690759</v>
      </c>
    </row>
    <row r="219" spans="1:13" x14ac:dyDescent="0.25">
      <c r="A219" s="1">
        <v>398.9</v>
      </c>
      <c r="B219" s="1">
        <v>398.9</v>
      </c>
      <c r="C219" s="1">
        <f>LN(dane_7[[#This Row],[Dane wejściowe posortowane]])</f>
        <v>5.9887107589113606</v>
      </c>
      <c r="D219" s="1">
        <v>218</v>
      </c>
      <c r="G219" s="1">
        <f>dane_7[[#This Row],[Nr próbki]]/($G$1+1)</f>
        <v>0.21778221778221779</v>
      </c>
      <c r="H219" s="1">
        <f>(dane_7[[#This Row],[Logarytm naturalny]]-$I$2)/$J$2</f>
        <v>-0.55224660349927857</v>
      </c>
      <c r="M219" s="1">
        <f t="shared" si="3"/>
        <v>0.29038970437690759</v>
      </c>
    </row>
    <row r="220" spans="1:13" x14ac:dyDescent="0.25">
      <c r="A220" s="1">
        <v>398.9</v>
      </c>
      <c r="B220" s="1">
        <v>398.9</v>
      </c>
      <c r="C220" s="1">
        <f>LN(dane_7[[#This Row],[Dane wejściowe posortowane]])</f>
        <v>5.9887107589113606</v>
      </c>
      <c r="D220" s="1">
        <v>219</v>
      </c>
      <c r="G220" s="1">
        <f>dane_7[[#This Row],[Nr próbki]]/($G$1+1)</f>
        <v>0.21878121878121878</v>
      </c>
      <c r="H220" s="1">
        <f>(dane_7[[#This Row],[Logarytm naturalny]]-$I$2)/$J$2</f>
        <v>-0.55224660349927857</v>
      </c>
      <c r="M220" s="1">
        <f t="shared" si="3"/>
        <v>0.29038970437690759</v>
      </c>
    </row>
    <row r="221" spans="1:13" x14ac:dyDescent="0.25">
      <c r="A221" s="1">
        <v>398.9</v>
      </c>
      <c r="B221" s="1">
        <v>398.9</v>
      </c>
      <c r="C221" s="1">
        <f>LN(dane_7[[#This Row],[Dane wejściowe posortowane]])</f>
        <v>5.9887107589113606</v>
      </c>
      <c r="D221" s="1">
        <v>220</v>
      </c>
      <c r="G221" s="1">
        <f>dane_7[[#This Row],[Nr próbki]]/($G$1+1)</f>
        <v>0.21978021978021978</v>
      </c>
      <c r="H221" s="1">
        <f>(dane_7[[#This Row],[Logarytm naturalny]]-$I$2)/$J$2</f>
        <v>-0.55224660349927857</v>
      </c>
      <c r="M221" s="1">
        <f t="shared" si="3"/>
        <v>0.29038970437690759</v>
      </c>
    </row>
    <row r="222" spans="1:13" x14ac:dyDescent="0.25">
      <c r="A222" s="1">
        <v>398.9</v>
      </c>
      <c r="B222" s="1">
        <v>398.9</v>
      </c>
      <c r="C222" s="1">
        <f>LN(dane_7[[#This Row],[Dane wejściowe posortowane]])</f>
        <v>5.9887107589113606</v>
      </c>
      <c r="D222" s="1">
        <v>221</v>
      </c>
      <c r="G222" s="1">
        <f>dane_7[[#This Row],[Nr próbki]]/($G$1+1)</f>
        <v>0.22077922077922077</v>
      </c>
      <c r="H222" s="1">
        <f>(dane_7[[#This Row],[Logarytm naturalny]]-$I$2)/$J$2</f>
        <v>-0.55224660349927857</v>
      </c>
      <c r="M222" s="1">
        <f t="shared" si="3"/>
        <v>0.29038970437690759</v>
      </c>
    </row>
    <row r="223" spans="1:13" x14ac:dyDescent="0.25">
      <c r="A223" s="1">
        <v>398.9</v>
      </c>
      <c r="B223" s="1">
        <v>398.9</v>
      </c>
      <c r="C223" s="1">
        <f>LN(dane_7[[#This Row],[Dane wejściowe posortowane]])</f>
        <v>5.9887107589113606</v>
      </c>
      <c r="D223" s="1">
        <v>222</v>
      </c>
      <c r="G223" s="1">
        <f>dane_7[[#This Row],[Nr próbki]]/($G$1+1)</f>
        <v>0.22177822177822179</v>
      </c>
      <c r="H223" s="1">
        <f>(dane_7[[#This Row],[Logarytm naturalny]]-$I$2)/$J$2</f>
        <v>-0.55224660349927857</v>
      </c>
      <c r="M223" s="1">
        <f t="shared" si="3"/>
        <v>0.29038970437690759</v>
      </c>
    </row>
    <row r="224" spans="1:13" x14ac:dyDescent="0.25">
      <c r="A224" s="1">
        <v>398.9</v>
      </c>
      <c r="B224" s="1">
        <v>398.9</v>
      </c>
      <c r="C224" s="1">
        <f>LN(dane_7[[#This Row],[Dane wejściowe posortowane]])</f>
        <v>5.9887107589113606</v>
      </c>
      <c r="D224" s="1">
        <v>223</v>
      </c>
      <c r="G224" s="1">
        <f>dane_7[[#This Row],[Nr próbki]]/($G$1+1)</f>
        <v>0.22277722277722278</v>
      </c>
      <c r="H224" s="1">
        <f>(dane_7[[#This Row],[Logarytm naturalny]]-$I$2)/$J$2</f>
        <v>-0.55224660349927857</v>
      </c>
      <c r="M224" s="1">
        <f t="shared" si="3"/>
        <v>0.29038970437690759</v>
      </c>
    </row>
    <row r="225" spans="1:13" x14ac:dyDescent="0.25">
      <c r="A225" s="1">
        <v>398.9</v>
      </c>
      <c r="B225" s="1">
        <v>398.9</v>
      </c>
      <c r="C225" s="1">
        <f>LN(dane_7[[#This Row],[Dane wejściowe posortowane]])</f>
        <v>5.9887107589113606</v>
      </c>
      <c r="D225" s="1">
        <v>224</v>
      </c>
      <c r="G225" s="1">
        <f>dane_7[[#This Row],[Nr próbki]]/($G$1+1)</f>
        <v>0.22377622377622378</v>
      </c>
      <c r="H225" s="1">
        <f>(dane_7[[#This Row],[Logarytm naturalny]]-$I$2)/$J$2</f>
        <v>-0.55224660349927857</v>
      </c>
      <c r="M225" s="1">
        <f t="shared" si="3"/>
        <v>0.29038970437690759</v>
      </c>
    </row>
    <row r="226" spans="1:13" x14ac:dyDescent="0.25">
      <c r="A226" s="1">
        <v>398.9</v>
      </c>
      <c r="B226" s="1">
        <v>398.9</v>
      </c>
      <c r="C226" s="1">
        <f>LN(dane_7[[#This Row],[Dane wejściowe posortowane]])</f>
        <v>5.9887107589113606</v>
      </c>
      <c r="D226" s="1">
        <v>225</v>
      </c>
      <c r="G226" s="1">
        <f>dane_7[[#This Row],[Nr próbki]]/($G$1+1)</f>
        <v>0.22477522477522477</v>
      </c>
      <c r="H226" s="1">
        <f>(dane_7[[#This Row],[Logarytm naturalny]]-$I$2)/$J$2</f>
        <v>-0.55224660349927857</v>
      </c>
      <c r="M226" s="1">
        <f t="shared" si="3"/>
        <v>0.29038970437690759</v>
      </c>
    </row>
    <row r="227" spans="1:13" x14ac:dyDescent="0.25">
      <c r="A227" s="1">
        <v>398.9</v>
      </c>
      <c r="B227" s="1">
        <v>398.9</v>
      </c>
      <c r="C227" s="1">
        <f>LN(dane_7[[#This Row],[Dane wejściowe posortowane]])</f>
        <v>5.9887107589113606</v>
      </c>
      <c r="D227" s="1">
        <v>226</v>
      </c>
      <c r="G227" s="1">
        <f>dane_7[[#This Row],[Nr próbki]]/($G$1+1)</f>
        <v>0.22577422577422576</v>
      </c>
      <c r="H227" s="1">
        <f>(dane_7[[#This Row],[Logarytm naturalny]]-$I$2)/$J$2</f>
        <v>-0.55224660349927857</v>
      </c>
      <c r="M227" s="1">
        <f t="shared" si="3"/>
        <v>0.29038970437690759</v>
      </c>
    </row>
    <row r="228" spans="1:13" x14ac:dyDescent="0.25">
      <c r="A228" s="1">
        <v>399</v>
      </c>
      <c r="B228" s="1">
        <v>399</v>
      </c>
      <c r="C228" s="1">
        <f>LN(dane_7[[#This Row],[Dane wejściowe posortowane]])</f>
        <v>5.9889614168898637</v>
      </c>
      <c r="D228" s="1">
        <v>227</v>
      </c>
      <c r="G228" s="1">
        <f>dane_7[[#This Row],[Nr próbki]]/($G$1+1)</f>
        <v>0.22677322677322678</v>
      </c>
      <c r="H228" s="1">
        <f>(dane_7[[#This Row],[Logarytm naturalny]]-$I$2)/$J$2</f>
        <v>-0.51773042538508018</v>
      </c>
      <c r="M228" s="1">
        <f t="shared" si="3"/>
        <v>0.30232318353072962</v>
      </c>
    </row>
    <row r="229" spans="1:13" x14ac:dyDescent="0.25">
      <c r="A229" s="1">
        <v>399</v>
      </c>
      <c r="B229" s="1">
        <v>399</v>
      </c>
      <c r="C229" s="1">
        <f>LN(dane_7[[#This Row],[Dane wejściowe posortowane]])</f>
        <v>5.9889614168898637</v>
      </c>
      <c r="D229" s="1">
        <v>228</v>
      </c>
      <c r="G229" s="1">
        <f>dane_7[[#This Row],[Nr próbki]]/($G$1+1)</f>
        <v>0.22777222777222778</v>
      </c>
      <c r="H229" s="1">
        <f>(dane_7[[#This Row],[Logarytm naturalny]]-$I$2)/$J$2</f>
        <v>-0.51773042538508018</v>
      </c>
      <c r="M229" s="1">
        <f t="shared" si="3"/>
        <v>0.30232318353072962</v>
      </c>
    </row>
    <row r="230" spans="1:13" x14ac:dyDescent="0.25">
      <c r="A230" s="1">
        <v>399</v>
      </c>
      <c r="B230" s="1">
        <v>399</v>
      </c>
      <c r="C230" s="1">
        <f>LN(dane_7[[#This Row],[Dane wejściowe posortowane]])</f>
        <v>5.9889614168898637</v>
      </c>
      <c r="D230" s="1">
        <v>229</v>
      </c>
      <c r="G230" s="1">
        <f>dane_7[[#This Row],[Nr próbki]]/($G$1+1)</f>
        <v>0.22877122877122877</v>
      </c>
      <c r="H230" s="1">
        <f>(dane_7[[#This Row],[Logarytm naturalny]]-$I$2)/$J$2</f>
        <v>-0.51773042538508018</v>
      </c>
      <c r="M230" s="1">
        <f t="shared" si="3"/>
        <v>0.30232318353072962</v>
      </c>
    </row>
    <row r="231" spans="1:13" x14ac:dyDescent="0.25">
      <c r="A231" s="1">
        <v>399</v>
      </c>
      <c r="B231" s="1">
        <v>399</v>
      </c>
      <c r="C231" s="1">
        <f>LN(dane_7[[#This Row],[Dane wejściowe posortowane]])</f>
        <v>5.9889614168898637</v>
      </c>
      <c r="D231" s="1">
        <v>230</v>
      </c>
      <c r="G231" s="1">
        <f>dane_7[[#This Row],[Nr próbki]]/($G$1+1)</f>
        <v>0.22977022977022976</v>
      </c>
      <c r="H231" s="1">
        <f>(dane_7[[#This Row],[Logarytm naturalny]]-$I$2)/$J$2</f>
        <v>-0.51773042538508018</v>
      </c>
      <c r="M231" s="1">
        <f t="shared" si="3"/>
        <v>0.30232318353072962</v>
      </c>
    </row>
    <row r="232" spans="1:13" x14ac:dyDescent="0.25">
      <c r="A232" s="1">
        <v>399</v>
      </c>
      <c r="B232" s="1">
        <v>399</v>
      </c>
      <c r="C232" s="1">
        <f>LN(dane_7[[#This Row],[Dane wejściowe posortowane]])</f>
        <v>5.9889614168898637</v>
      </c>
      <c r="D232" s="1">
        <v>231</v>
      </c>
      <c r="G232" s="1">
        <f>dane_7[[#This Row],[Nr próbki]]/($G$1+1)</f>
        <v>0.23076923076923078</v>
      </c>
      <c r="H232" s="1">
        <f>(dane_7[[#This Row],[Logarytm naturalny]]-$I$2)/$J$2</f>
        <v>-0.51773042538508018</v>
      </c>
      <c r="M232" s="1">
        <f t="shared" si="3"/>
        <v>0.30232318353072962</v>
      </c>
    </row>
    <row r="233" spans="1:13" x14ac:dyDescent="0.25">
      <c r="A233" s="1">
        <v>399</v>
      </c>
      <c r="B233" s="1">
        <v>399</v>
      </c>
      <c r="C233" s="1">
        <f>LN(dane_7[[#This Row],[Dane wejściowe posortowane]])</f>
        <v>5.9889614168898637</v>
      </c>
      <c r="D233" s="1">
        <v>232</v>
      </c>
      <c r="G233" s="1">
        <f>dane_7[[#This Row],[Nr próbki]]/($G$1+1)</f>
        <v>0.23176823176823177</v>
      </c>
      <c r="H233" s="1">
        <f>(dane_7[[#This Row],[Logarytm naturalny]]-$I$2)/$J$2</f>
        <v>-0.51773042538508018</v>
      </c>
      <c r="M233" s="1">
        <f t="shared" si="3"/>
        <v>0.30232318353072962</v>
      </c>
    </row>
    <row r="234" spans="1:13" x14ac:dyDescent="0.25">
      <c r="A234" s="1">
        <v>399</v>
      </c>
      <c r="B234" s="1">
        <v>399</v>
      </c>
      <c r="C234" s="1">
        <f>LN(dane_7[[#This Row],[Dane wejściowe posortowane]])</f>
        <v>5.9889614168898637</v>
      </c>
      <c r="D234" s="1">
        <v>233</v>
      </c>
      <c r="G234" s="1">
        <f>dane_7[[#This Row],[Nr próbki]]/($G$1+1)</f>
        <v>0.23276723276723277</v>
      </c>
      <c r="H234" s="1">
        <f>(dane_7[[#This Row],[Logarytm naturalny]]-$I$2)/$J$2</f>
        <v>-0.51773042538508018</v>
      </c>
      <c r="M234" s="1">
        <f t="shared" si="3"/>
        <v>0.30232318353072962</v>
      </c>
    </row>
    <row r="235" spans="1:13" x14ac:dyDescent="0.25">
      <c r="A235" s="1">
        <v>399</v>
      </c>
      <c r="B235" s="1">
        <v>399</v>
      </c>
      <c r="C235" s="1">
        <f>LN(dane_7[[#This Row],[Dane wejściowe posortowane]])</f>
        <v>5.9889614168898637</v>
      </c>
      <c r="D235" s="1">
        <v>234</v>
      </c>
      <c r="G235" s="1">
        <f>dane_7[[#This Row],[Nr próbki]]/($G$1+1)</f>
        <v>0.23376623376623376</v>
      </c>
      <c r="H235" s="1">
        <f>(dane_7[[#This Row],[Logarytm naturalny]]-$I$2)/$J$2</f>
        <v>-0.51773042538508018</v>
      </c>
      <c r="M235" s="1">
        <f t="shared" si="3"/>
        <v>0.30232318353072962</v>
      </c>
    </row>
    <row r="236" spans="1:13" x14ac:dyDescent="0.25">
      <c r="A236" s="1">
        <v>399</v>
      </c>
      <c r="B236" s="1">
        <v>399</v>
      </c>
      <c r="C236" s="1">
        <f>LN(dane_7[[#This Row],[Dane wejściowe posortowane]])</f>
        <v>5.9889614168898637</v>
      </c>
      <c r="D236" s="1">
        <v>235</v>
      </c>
      <c r="G236" s="1">
        <f>dane_7[[#This Row],[Nr próbki]]/($G$1+1)</f>
        <v>0.23476523476523475</v>
      </c>
      <c r="H236" s="1">
        <f>(dane_7[[#This Row],[Logarytm naturalny]]-$I$2)/$J$2</f>
        <v>-0.51773042538508018</v>
      </c>
      <c r="M236" s="1">
        <f t="shared" si="3"/>
        <v>0.30232318353072962</v>
      </c>
    </row>
    <row r="237" spans="1:13" x14ac:dyDescent="0.25">
      <c r="A237" s="1">
        <v>399</v>
      </c>
      <c r="B237" s="1">
        <v>399</v>
      </c>
      <c r="C237" s="1">
        <f>LN(dane_7[[#This Row],[Dane wejściowe posortowane]])</f>
        <v>5.9889614168898637</v>
      </c>
      <c r="D237" s="1">
        <v>236</v>
      </c>
      <c r="G237" s="1">
        <f>dane_7[[#This Row],[Nr próbki]]/($G$1+1)</f>
        <v>0.23576423576423577</v>
      </c>
      <c r="H237" s="1">
        <f>(dane_7[[#This Row],[Logarytm naturalny]]-$I$2)/$J$2</f>
        <v>-0.51773042538508018</v>
      </c>
      <c r="M237" s="1">
        <f t="shared" si="3"/>
        <v>0.30232318353072962</v>
      </c>
    </row>
    <row r="238" spans="1:13" x14ac:dyDescent="0.25">
      <c r="A238" s="1">
        <v>399.1</v>
      </c>
      <c r="B238" s="1">
        <v>399.1</v>
      </c>
      <c r="C238" s="1">
        <f>LN(dane_7[[#This Row],[Dane wejściowe posortowane]])</f>
        <v>5.9892120120546881</v>
      </c>
      <c r="D238" s="1">
        <v>237</v>
      </c>
      <c r="G238" s="1">
        <f>dane_7[[#This Row],[Nr próbki]]/($G$1+1)</f>
        <v>0.23676323676323677</v>
      </c>
      <c r="H238" s="1">
        <f>(dane_7[[#This Row],[Logarytm naturalny]]-$I$2)/$J$2</f>
        <v>-0.48322289685839981</v>
      </c>
      <c r="M238" s="1">
        <f t="shared" si="3"/>
        <v>0.31446873967694444</v>
      </c>
    </row>
    <row r="239" spans="1:13" x14ac:dyDescent="0.25">
      <c r="A239" s="1">
        <v>399.1</v>
      </c>
      <c r="B239" s="1">
        <v>399.1</v>
      </c>
      <c r="C239" s="1">
        <f>LN(dane_7[[#This Row],[Dane wejściowe posortowane]])</f>
        <v>5.9892120120546881</v>
      </c>
      <c r="D239" s="1">
        <v>238</v>
      </c>
      <c r="G239" s="1">
        <f>dane_7[[#This Row],[Nr próbki]]/($G$1+1)</f>
        <v>0.23776223776223776</v>
      </c>
      <c r="H239" s="1">
        <f>(dane_7[[#This Row],[Logarytm naturalny]]-$I$2)/$J$2</f>
        <v>-0.48322289685839981</v>
      </c>
      <c r="M239" s="1">
        <f t="shared" si="3"/>
        <v>0.31446873967694444</v>
      </c>
    </row>
    <row r="240" spans="1:13" x14ac:dyDescent="0.25">
      <c r="A240" s="1">
        <v>399.1</v>
      </c>
      <c r="B240" s="1">
        <v>399.1</v>
      </c>
      <c r="C240" s="1">
        <f>LN(dane_7[[#This Row],[Dane wejściowe posortowane]])</f>
        <v>5.9892120120546881</v>
      </c>
      <c r="D240" s="1">
        <v>239</v>
      </c>
      <c r="G240" s="1">
        <f>dane_7[[#This Row],[Nr próbki]]/($G$1+1)</f>
        <v>0.23876123876123875</v>
      </c>
      <c r="H240" s="1">
        <f>(dane_7[[#This Row],[Logarytm naturalny]]-$I$2)/$J$2</f>
        <v>-0.48322289685839981</v>
      </c>
      <c r="M240" s="1">
        <f t="shared" si="3"/>
        <v>0.31446873967694444</v>
      </c>
    </row>
    <row r="241" spans="1:13" x14ac:dyDescent="0.25">
      <c r="A241" s="1">
        <v>399.1</v>
      </c>
      <c r="B241" s="1">
        <v>399.1</v>
      </c>
      <c r="C241" s="1">
        <f>LN(dane_7[[#This Row],[Dane wejściowe posortowane]])</f>
        <v>5.9892120120546881</v>
      </c>
      <c r="D241" s="1">
        <v>240</v>
      </c>
      <c r="G241" s="1">
        <f>dane_7[[#This Row],[Nr próbki]]/($G$1+1)</f>
        <v>0.23976023976023977</v>
      </c>
      <c r="H241" s="1">
        <f>(dane_7[[#This Row],[Logarytm naturalny]]-$I$2)/$J$2</f>
        <v>-0.48322289685839981</v>
      </c>
      <c r="M241" s="1">
        <f t="shared" si="3"/>
        <v>0.31446873967694444</v>
      </c>
    </row>
    <row r="242" spans="1:13" x14ac:dyDescent="0.25">
      <c r="A242" s="1">
        <v>399.1</v>
      </c>
      <c r="B242" s="1">
        <v>399.1</v>
      </c>
      <c r="C242" s="1">
        <f>LN(dane_7[[#This Row],[Dane wejściowe posortowane]])</f>
        <v>5.9892120120546881</v>
      </c>
      <c r="D242" s="1">
        <v>241</v>
      </c>
      <c r="G242" s="1">
        <f>dane_7[[#This Row],[Nr próbki]]/($G$1+1)</f>
        <v>0.24075924075924077</v>
      </c>
      <c r="H242" s="1">
        <f>(dane_7[[#This Row],[Logarytm naturalny]]-$I$2)/$J$2</f>
        <v>-0.48322289685839981</v>
      </c>
      <c r="M242" s="1">
        <f t="shared" si="3"/>
        <v>0.31446873967694444</v>
      </c>
    </row>
    <row r="243" spans="1:13" x14ac:dyDescent="0.25">
      <c r="A243" s="1">
        <v>399.1</v>
      </c>
      <c r="B243" s="1">
        <v>399.1</v>
      </c>
      <c r="C243" s="1">
        <f>LN(dane_7[[#This Row],[Dane wejściowe posortowane]])</f>
        <v>5.9892120120546881</v>
      </c>
      <c r="D243" s="1">
        <v>242</v>
      </c>
      <c r="G243" s="1">
        <f>dane_7[[#This Row],[Nr próbki]]/($G$1+1)</f>
        <v>0.24175824175824176</v>
      </c>
      <c r="H243" s="1">
        <f>(dane_7[[#This Row],[Logarytm naturalny]]-$I$2)/$J$2</f>
        <v>-0.48322289685839981</v>
      </c>
      <c r="M243" s="1">
        <f t="shared" si="3"/>
        <v>0.31446873967694444</v>
      </c>
    </row>
    <row r="244" spans="1:13" x14ac:dyDescent="0.25">
      <c r="A244" s="1">
        <v>399.1</v>
      </c>
      <c r="B244" s="1">
        <v>399.1</v>
      </c>
      <c r="C244" s="1">
        <f>LN(dane_7[[#This Row],[Dane wejściowe posortowane]])</f>
        <v>5.9892120120546881</v>
      </c>
      <c r="D244" s="1">
        <v>243</v>
      </c>
      <c r="G244" s="1">
        <f>dane_7[[#This Row],[Nr próbki]]/($G$1+1)</f>
        <v>0.24275724275724275</v>
      </c>
      <c r="H244" s="1">
        <f>(dane_7[[#This Row],[Logarytm naturalny]]-$I$2)/$J$2</f>
        <v>-0.48322289685839981</v>
      </c>
      <c r="M244" s="1">
        <f t="shared" si="3"/>
        <v>0.31446873967694444</v>
      </c>
    </row>
    <row r="245" spans="1:13" x14ac:dyDescent="0.25">
      <c r="A245" s="1">
        <v>399.1</v>
      </c>
      <c r="B245" s="1">
        <v>399.1</v>
      </c>
      <c r="C245" s="1">
        <f>LN(dane_7[[#This Row],[Dane wejściowe posortowane]])</f>
        <v>5.9892120120546881</v>
      </c>
      <c r="D245" s="1">
        <v>244</v>
      </c>
      <c r="G245" s="1">
        <f>dane_7[[#This Row],[Nr próbki]]/($G$1+1)</f>
        <v>0.24375624375624375</v>
      </c>
      <c r="H245" s="1">
        <f>(dane_7[[#This Row],[Logarytm naturalny]]-$I$2)/$J$2</f>
        <v>-0.48322289685839981</v>
      </c>
      <c r="M245" s="1">
        <f t="shared" si="3"/>
        <v>0.31446873967694444</v>
      </c>
    </row>
    <row r="246" spans="1:13" x14ac:dyDescent="0.25">
      <c r="A246" s="1">
        <v>399.1</v>
      </c>
      <c r="B246" s="1">
        <v>399.1</v>
      </c>
      <c r="C246" s="1">
        <f>LN(dane_7[[#This Row],[Dane wejściowe posortowane]])</f>
        <v>5.9892120120546881</v>
      </c>
      <c r="D246" s="1">
        <v>245</v>
      </c>
      <c r="G246" s="1">
        <f>dane_7[[#This Row],[Nr próbki]]/($G$1+1)</f>
        <v>0.24475524475524477</v>
      </c>
      <c r="H246" s="1">
        <f>(dane_7[[#This Row],[Logarytm naturalny]]-$I$2)/$J$2</f>
        <v>-0.48322289685839981</v>
      </c>
      <c r="M246" s="1">
        <f t="shared" si="3"/>
        <v>0.31446873967694444</v>
      </c>
    </row>
    <row r="247" spans="1:13" x14ac:dyDescent="0.25">
      <c r="A247" s="1">
        <v>399.1</v>
      </c>
      <c r="B247" s="1">
        <v>399.1</v>
      </c>
      <c r="C247" s="1">
        <f>LN(dane_7[[#This Row],[Dane wejściowe posortowane]])</f>
        <v>5.9892120120546881</v>
      </c>
      <c r="D247" s="1">
        <v>246</v>
      </c>
      <c r="G247" s="1">
        <f>dane_7[[#This Row],[Nr próbki]]/($G$1+1)</f>
        <v>0.24575424575424576</v>
      </c>
      <c r="H247" s="1">
        <f>(dane_7[[#This Row],[Logarytm naturalny]]-$I$2)/$J$2</f>
        <v>-0.48322289685839981</v>
      </c>
      <c r="M247" s="1">
        <f t="shared" si="3"/>
        <v>0.31446873967694444</v>
      </c>
    </row>
    <row r="248" spans="1:13" x14ac:dyDescent="0.25">
      <c r="A248" s="1">
        <v>399.1</v>
      </c>
      <c r="B248" s="1">
        <v>399.1</v>
      </c>
      <c r="C248" s="1">
        <f>LN(dane_7[[#This Row],[Dane wejściowe posortowane]])</f>
        <v>5.9892120120546881</v>
      </c>
      <c r="D248" s="1">
        <v>247</v>
      </c>
      <c r="G248" s="1">
        <f>dane_7[[#This Row],[Nr próbki]]/($G$1+1)</f>
        <v>0.24675324675324675</v>
      </c>
      <c r="H248" s="1">
        <f>(dane_7[[#This Row],[Logarytm naturalny]]-$I$2)/$J$2</f>
        <v>-0.48322289685839981</v>
      </c>
      <c r="M248" s="1">
        <f t="shared" si="3"/>
        <v>0.31446873967694444</v>
      </c>
    </row>
    <row r="249" spans="1:13" x14ac:dyDescent="0.25">
      <c r="A249" s="1">
        <v>399.1</v>
      </c>
      <c r="B249" s="1">
        <v>399.1</v>
      </c>
      <c r="C249" s="1">
        <f>LN(dane_7[[#This Row],[Dane wejściowe posortowane]])</f>
        <v>5.9892120120546881</v>
      </c>
      <c r="D249" s="1">
        <v>248</v>
      </c>
      <c r="G249" s="1">
        <f>dane_7[[#This Row],[Nr próbki]]/($G$1+1)</f>
        <v>0.24775224775224775</v>
      </c>
      <c r="H249" s="1">
        <f>(dane_7[[#This Row],[Logarytm naturalny]]-$I$2)/$J$2</f>
        <v>-0.48322289685839981</v>
      </c>
      <c r="M249" s="1">
        <f t="shared" si="3"/>
        <v>0.31446873967694444</v>
      </c>
    </row>
    <row r="250" spans="1:13" x14ac:dyDescent="0.25">
      <c r="A250" s="1">
        <v>399.2</v>
      </c>
      <c r="B250" s="1">
        <v>399.2</v>
      </c>
      <c r="C250" s="1">
        <f>LN(dane_7[[#This Row],[Dane wejściowe posortowane]])</f>
        <v>5.9894625444373091</v>
      </c>
      <c r="D250" s="1">
        <v>249</v>
      </c>
      <c r="G250" s="1">
        <f>dane_7[[#This Row],[Nr próbki]]/($G$1+1)</f>
        <v>0.24875124875124874</v>
      </c>
      <c r="H250" s="1">
        <f>(dane_7[[#This Row],[Logarytm naturalny]]-$I$2)/$J$2</f>
        <v>-0.4487240135850209</v>
      </c>
      <c r="M250" s="1">
        <f t="shared" si="3"/>
        <v>0.32681537976714237</v>
      </c>
    </row>
    <row r="251" spans="1:13" x14ac:dyDescent="0.25">
      <c r="A251" s="1">
        <v>399.2</v>
      </c>
      <c r="B251" s="1">
        <v>399.2</v>
      </c>
      <c r="C251" s="1">
        <f>LN(dane_7[[#This Row],[Dane wejściowe posortowane]])</f>
        <v>5.9894625444373091</v>
      </c>
      <c r="D251" s="1">
        <v>250</v>
      </c>
      <c r="G251" s="1">
        <f>dane_7[[#This Row],[Nr próbki]]/($G$1+1)</f>
        <v>0.24975024975024976</v>
      </c>
      <c r="H251" s="1">
        <f>(dane_7[[#This Row],[Logarytm naturalny]]-$I$2)/$J$2</f>
        <v>-0.4487240135850209</v>
      </c>
      <c r="M251" s="1">
        <f t="shared" si="3"/>
        <v>0.32681537976714237</v>
      </c>
    </row>
    <row r="252" spans="1:13" x14ac:dyDescent="0.25">
      <c r="A252" s="1">
        <v>399.2</v>
      </c>
      <c r="B252" s="1">
        <v>399.2</v>
      </c>
      <c r="C252" s="1">
        <f>LN(dane_7[[#This Row],[Dane wejściowe posortowane]])</f>
        <v>5.9894625444373091</v>
      </c>
      <c r="D252" s="1">
        <v>251</v>
      </c>
      <c r="G252" s="1">
        <f>dane_7[[#This Row],[Nr próbki]]/($G$1+1)</f>
        <v>0.25074925074925075</v>
      </c>
      <c r="H252" s="1">
        <f>(dane_7[[#This Row],[Logarytm naturalny]]-$I$2)/$J$2</f>
        <v>-0.4487240135850209</v>
      </c>
      <c r="M252" s="1">
        <f t="shared" si="3"/>
        <v>0.32681537976714237</v>
      </c>
    </row>
    <row r="253" spans="1:13" x14ac:dyDescent="0.25">
      <c r="A253" s="1">
        <v>399.2</v>
      </c>
      <c r="B253" s="1">
        <v>399.2</v>
      </c>
      <c r="C253" s="1">
        <f>LN(dane_7[[#This Row],[Dane wejściowe posortowane]])</f>
        <v>5.9894625444373091</v>
      </c>
      <c r="D253" s="1">
        <v>252</v>
      </c>
      <c r="G253" s="1">
        <f>dane_7[[#This Row],[Nr próbki]]/($G$1+1)</f>
        <v>0.25174825174825177</v>
      </c>
      <c r="H253" s="1">
        <f>(dane_7[[#This Row],[Logarytm naturalny]]-$I$2)/$J$2</f>
        <v>-0.4487240135850209</v>
      </c>
      <c r="M253" s="1">
        <f t="shared" si="3"/>
        <v>0.32681537976714237</v>
      </c>
    </row>
    <row r="254" spans="1:13" x14ac:dyDescent="0.25">
      <c r="A254" s="1">
        <v>399.2</v>
      </c>
      <c r="B254" s="1">
        <v>399.2</v>
      </c>
      <c r="C254" s="1">
        <f>LN(dane_7[[#This Row],[Dane wejściowe posortowane]])</f>
        <v>5.9894625444373091</v>
      </c>
      <c r="D254" s="1">
        <v>253</v>
      </c>
      <c r="G254" s="1">
        <f>dane_7[[#This Row],[Nr próbki]]/($G$1+1)</f>
        <v>0.25274725274725274</v>
      </c>
      <c r="H254" s="1">
        <f>(dane_7[[#This Row],[Logarytm naturalny]]-$I$2)/$J$2</f>
        <v>-0.4487240135850209</v>
      </c>
      <c r="M254" s="1">
        <f t="shared" si="3"/>
        <v>0.32681537976714237</v>
      </c>
    </row>
    <row r="255" spans="1:13" x14ac:dyDescent="0.25">
      <c r="A255" s="1">
        <v>399.2</v>
      </c>
      <c r="B255" s="1">
        <v>399.2</v>
      </c>
      <c r="C255" s="1">
        <f>LN(dane_7[[#This Row],[Dane wejściowe posortowane]])</f>
        <v>5.9894625444373091</v>
      </c>
      <c r="D255" s="1">
        <v>254</v>
      </c>
      <c r="G255" s="1">
        <f>dane_7[[#This Row],[Nr próbki]]/($G$1+1)</f>
        <v>0.25374625374625376</v>
      </c>
      <c r="H255" s="1">
        <f>(dane_7[[#This Row],[Logarytm naturalny]]-$I$2)/$J$2</f>
        <v>-0.4487240135850209</v>
      </c>
      <c r="M255" s="1">
        <f t="shared" si="3"/>
        <v>0.32681537976714237</v>
      </c>
    </row>
    <row r="256" spans="1:13" x14ac:dyDescent="0.25">
      <c r="A256" s="1">
        <v>399.2</v>
      </c>
      <c r="B256" s="1">
        <v>399.2</v>
      </c>
      <c r="C256" s="1">
        <f>LN(dane_7[[#This Row],[Dane wejściowe posortowane]])</f>
        <v>5.9894625444373091</v>
      </c>
      <c r="D256" s="1">
        <v>255</v>
      </c>
      <c r="G256" s="1">
        <f>dane_7[[#This Row],[Nr próbki]]/($G$1+1)</f>
        <v>0.25474525474525472</v>
      </c>
      <c r="H256" s="1">
        <f>(dane_7[[#This Row],[Logarytm naturalny]]-$I$2)/$J$2</f>
        <v>-0.4487240135850209</v>
      </c>
      <c r="M256" s="1">
        <f t="shared" si="3"/>
        <v>0.32681537976714237</v>
      </c>
    </row>
    <row r="257" spans="1:13" x14ac:dyDescent="0.25">
      <c r="A257" s="1">
        <v>399.2</v>
      </c>
      <c r="B257" s="1">
        <v>399.2</v>
      </c>
      <c r="C257" s="1">
        <f>LN(dane_7[[#This Row],[Dane wejściowe posortowane]])</f>
        <v>5.9894625444373091</v>
      </c>
      <c r="D257" s="1">
        <v>256</v>
      </c>
      <c r="G257" s="1">
        <f>dane_7[[#This Row],[Nr próbki]]/($G$1+1)</f>
        <v>0.25574425574425574</v>
      </c>
      <c r="H257" s="1">
        <f>(dane_7[[#This Row],[Logarytm naturalny]]-$I$2)/$J$2</f>
        <v>-0.4487240135850209</v>
      </c>
      <c r="M257" s="1">
        <f t="shared" si="3"/>
        <v>0.32681537976714237</v>
      </c>
    </row>
    <row r="258" spans="1:13" x14ac:dyDescent="0.25">
      <c r="A258" s="1">
        <v>399.2</v>
      </c>
      <c r="B258" s="1">
        <v>399.2</v>
      </c>
      <c r="C258" s="1">
        <f>LN(dane_7[[#This Row],[Dane wejściowe posortowane]])</f>
        <v>5.9894625444373091</v>
      </c>
      <c r="D258" s="1">
        <v>257</v>
      </c>
      <c r="G258" s="1">
        <f>dane_7[[#This Row],[Nr próbki]]/($G$1+1)</f>
        <v>0.25674325674325676</v>
      </c>
      <c r="H258" s="1">
        <f>(dane_7[[#This Row],[Logarytm naturalny]]-$I$2)/$J$2</f>
        <v>-0.4487240135850209</v>
      </c>
      <c r="M258" s="1">
        <f t="shared" si="3"/>
        <v>0.32681537976714237</v>
      </c>
    </row>
    <row r="259" spans="1:13" x14ac:dyDescent="0.25">
      <c r="A259" s="1">
        <v>399.2</v>
      </c>
      <c r="B259" s="1">
        <v>399.2</v>
      </c>
      <c r="C259" s="1">
        <f>LN(dane_7[[#This Row],[Dane wejściowe posortowane]])</f>
        <v>5.9894625444373091</v>
      </c>
      <c r="D259" s="1">
        <v>258</v>
      </c>
      <c r="G259" s="1">
        <f>dane_7[[#This Row],[Nr próbki]]/($G$1+1)</f>
        <v>0.25774225774225773</v>
      </c>
      <c r="H259" s="1">
        <f>(dane_7[[#This Row],[Logarytm naturalny]]-$I$2)/$J$2</f>
        <v>-0.4487240135850209</v>
      </c>
      <c r="M259" s="1">
        <f t="shared" ref="M259:M322" si="4">LOGNORMDIST(B259:B1258,$I$2,$J$2)</f>
        <v>0.32681537976714237</v>
      </c>
    </row>
    <row r="260" spans="1:13" x14ac:dyDescent="0.25">
      <c r="A260" s="1">
        <v>399.3</v>
      </c>
      <c r="B260" s="1">
        <v>399.3</v>
      </c>
      <c r="C260" s="1">
        <f>LN(dane_7[[#This Row],[Dane wejściowe posortowane]])</f>
        <v>5.9897130140691761</v>
      </c>
      <c r="D260" s="1">
        <v>259</v>
      </c>
      <c r="G260" s="1">
        <f>dane_7[[#This Row],[Nr próbki]]/($G$1+1)</f>
        <v>0.25874125874125875</v>
      </c>
      <c r="H260" s="1">
        <f>(dane_7[[#This Row],[Logarytm naturalny]]-$I$2)/$J$2</f>
        <v>-0.41423377123427391</v>
      </c>
      <c r="M260" s="1">
        <f t="shared" si="4"/>
        <v>0.33935145574568321</v>
      </c>
    </row>
    <row r="261" spans="1:13" x14ac:dyDescent="0.25">
      <c r="A261" s="1">
        <v>399.3</v>
      </c>
      <c r="B261" s="1">
        <v>399.3</v>
      </c>
      <c r="C261" s="1">
        <f>LN(dane_7[[#This Row],[Dane wejściowe posortowane]])</f>
        <v>5.9897130140691761</v>
      </c>
      <c r="D261" s="1">
        <v>260</v>
      </c>
      <c r="G261" s="1">
        <f>dane_7[[#This Row],[Nr próbki]]/($G$1+1)</f>
        <v>0.25974025974025972</v>
      </c>
      <c r="H261" s="1">
        <f>(dane_7[[#This Row],[Logarytm naturalny]]-$I$2)/$J$2</f>
        <v>-0.41423377123427391</v>
      </c>
      <c r="M261" s="1">
        <f t="shared" si="4"/>
        <v>0.33935145574568321</v>
      </c>
    </row>
    <row r="262" spans="1:13" x14ac:dyDescent="0.25">
      <c r="A262" s="1">
        <v>399.3</v>
      </c>
      <c r="B262" s="1">
        <v>399.3</v>
      </c>
      <c r="C262" s="1">
        <f>LN(dane_7[[#This Row],[Dane wejściowe posortowane]])</f>
        <v>5.9897130140691761</v>
      </c>
      <c r="D262" s="1">
        <v>261</v>
      </c>
      <c r="G262" s="1">
        <f>dane_7[[#This Row],[Nr próbki]]/($G$1+1)</f>
        <v>0.26073926073926074</v>
      </c>
      <c r="H262" s="1">
        <f>(dane_7[[#This Row],[Logarytm naturalny]]-$I$2)/$J$2</f>
        <v>-0.41423377123427391</v>
      </c>
      <c r="M262" s="1">
        <f t="shared" si="4"/>
        <v>0.33935145574568321</v>
      </c>
    </row>
    <row r="263" spans="1:13" x14ac:dyDescent="0.25">
      <c r="A263" s="1">
        <v>399.3</v>
      </c>
      <c r="B263" s="1">
        <v>399.3</v>
      </c>
      <c r="C263" s="1">
        <f>LN(dane_7[[#This Row],[Dane wejściowe posortowane]])</f>
        <v>5.9897130140691761</v>
      </c>
      <c r="D263" s="1">
        <v>262</v>
      </c>
      <c r="G263" s="1">
        <f>dane_7[[#This Row],[Nr próbki]]/($G$1+1)</f>
        <v>0.26173826173826176</v>
      </c>
      <c r="H263" s="1">
        <f>(dane_7[[#This Row],[Logarytm naturalny]]-$I$2)/$J$2</f>
        <v>-0.41423377123427391</v>
      </c>
      <c r="M263" s="1">
        <f t="shared" si="4"/>
        <v>0.33935145574568321</v>
      </c>
    </row>
    <row r="264" spans="1:13" x14ac:dyDescent="0.25">
      <c r="A264" s="1">
        <v>399.3</v>
      </c>
      <c r="B264" s="1">
        <v>399.3</v>
      </c>
      <c r="C264" s="1">
        <f>LN(dane_7[[#This Row],[Dane wejściowe posortowane]])</f>
        <v>5.9897130140691761</v>
      </c>
      <c r="D264" s="1">
        <v>263</v>
      </c>
      <c r="G264" s="1">
        <f>dane_7[[#This Row],[Nr próbki]]/($G$1+1)</f>
        <v>0.26273726273726272</v>
      </c>
      <c r="H264" s="1">
        <f>(dane_7[[#This Row],[Logarytm naturalny]]-$I$2)/$J$2</f>
        <v>-0.41423377123427391</v>
      </c>
      <c r="M264" s="1">
        <f t="shared" si="4"/>
        <v>0.33935145574568321</v>
      </c>
    </row>
    <row r="265" spans="1:13" x14ac:dyDescent="0.25">
      <c r="A265" s="1">
        <v>399.3</v>
      </c>
      <c r="B265" s="1">
        <v>399.3</v>
      </c>
      <c r="C265" s="1">
        <f>LN(dane_7[[#This Row],[Dane wejściowe posortowane]])</f>
        <v>5.9897130140691761</v>
      </c>
      <c r="D265" s="1">
        <v>264</v>
      </c>
      <c r="G265" s="1">
        <f>dane_7[[#This Row],[Nr próbki]]/($G$1+1)</f>
        <v>0.26373626373626374</v>
      </c>
      <c r="H265" s="1">
        <f>(dane_7[[#This Row],[Logarytm naturalny]]-$I$2)/$J$2</f>
        <v>-0.41423377123427391</v>
      </c>
      <c r="M265" s="1">
        <f t="shared" si="4"/>
        <v>0.33935145574568321</v>
      </c>
    </row>
    <row r="266" spans="1:13" x14ac:dyDescent="0.25">
      <c r="A266" s="1">
        <v>399.3</v>
      </c>
      <c r="B266" s="1">
        <v>399.3</v>
      </c>
      <c r="C266" s="1">
        <f>LN(dane_7[[#This Row],[Dane wejściowe posortowane]])</f>
        <v>5.9897130140691761</v>
      </c>
      <c r="D266" s="1">
        <v>265</v>
      </c>
      <c r="G266" s="1">
        <f>dane_7[[#This Row],[Nr próbki]]/($G$1+1)</f>
        <v>0.26473526473526471</v>
      </c>
      <c r="H266" s="1">
        <f>(dane_7[[#This Row],[Logarytm naturalny]]-$I$2)/$J$2</f>
        <v>-0.41423377123427391</v>
      </c>
      <c r="M266" s="1">
        <f t="shared" si="4"/>
        <v>0.33935145574568321</v>
      </c>
    </row>
    <row r="267" spans="1:13" x14ac:dyDescent="0.25">
      <c r="A267" s="1">
        <v>399.3</v>
      </c>
      <c r="B267" s="1">
        <v>399.3</v>
      </c>
      <c r="C267" s="1">
        <f>LN(dane_7[[#This Row],[Dane wejściowe posortowane]])</f>
        <v>5.9897130140691761</v>
      </c>
      <c r="D267" s="1">
        <v>266</v>
      </c>
      <c r="G267" s="1">
        <f>dane_7[[#This Row],[Nr próbki]]/($G$1+1)</f>
        <v>0.26573426573426573</v>
      </c>
      <c r="H267" s="1">
        <f>(dane_7[[#This Row],[Logarytm naturalny]]-$I$2)/$J$2</f>
        <v>-0.41423377123427391</v>
      </c>
      <c r="M267" s="1">
        <f t="shared" si="4"/>
        <v>0.33935145574568321</v>
      </c>
    </row>
    <row r="268" spans="1:13" x14ac:dyDescent="0.25">
      <c r="A268" s="1">
        <v>399.3</v>
      </c>
      <c r="B268" s="1">
        <v>399.3</v>
      </c>
      <c r="C268" s="1">
        <f>LN(dane_7[[#This Row],[Dane wejściowe posortowane]])</f>
        <v>5.9897130140691761</v>
      </c>
      <c r="D268" s="1">
        <v>267</v>
      </c>
      <c r="G268" s="1">
        <f>dane_7[[#This Row],[Nr próbki]]/($G$1+1)</f>
        <v>0.26673326673326675</v>
      </c>
      <c r="H268" s="1">
        <f>(dane_7[[#This Row],[Logarytm naturalny]]-$I$2)/$J$2</f>
        <v>-0.41423377123427391</v>
      </c>
      <c r="M268" s="1">
        <f t="shared" si="4"/>
        <v>0.33935145574568321</v>
      </c>
    </row>
    <row r="269" spans="1:13" x14ac:dyDescent="0.25">
      <c r="A269" s="1">
        <v>399.3</v>
      </c>
      <c r="B269" s="1">
        <v>399.3</v>
      </c>
      <c r="C269" s="1">
        <f>LN(dane_7[[#This Row],[Dane wejściowe posortowane]])</f>
        <v>5.9897130140691761</v>
      </c>
      <c r="D269" s="1">
        <v>268</v>
      </c>
      <c r="G269" s="1">
        <f>dane_7[[#This Row],[Nr próbki]]/($G$1+1)</f>
        <v>0.26773226773226771</v>
      </c>
      <c r="H269" s="1">
        <f>(dane_7[[#This Row],[Logarytm naturalny]]-$I$2)/$J$2</f>
        <v>-0.41423377123427391</v>
      </c>
      <c r="M269" s="1">
        <f t="shared" si="4"/>
        <v>0.33935145574568321</v>
      </c>
    </row>
    <row r="270" spans="1:13" x14ac:dyDescent="0.25">
      <c r="A270" s="1">
        <v>399.4</v>
      </c>
      <c r="B270" s="1">
        <v>399.4</v>
      </c>
      <c r="C270" s="1">
        <f>LN(dane_7[[#This Row],[Dane wejściowe posortowane]])</f>
        <v>5.9899634209817147</v>
      </c>
      <c r="D270" s="1">
        <v>269</v>
      </c>
      <c r="G270" s="1">
        <f>dane_7[[#This Row],[Nr próbki]]/($G$1+1)</f>
        <v>0.26873126873126874</v>
      </c>
      <c r="H270" s="1">
        <f>(dane_7[[#This Row],[Logarytm naturalny]]-$I$2)/$J$2</f>
        <v>-0.37975216547879154</v>
      </c>
      <c r="M270" s="1">
        <f t="shared" si="4"/>
        <v>0.35206469665044621</v>
      </c>
    </row>
    <row r="271" spans="1:13" x14ac:dyDescent="0.25">
      <c r="A271" s="1">
        <v>399.4</v>
      </c>
      <c r="B271" s="1">
        <v>399.4</v>
      </c>
      <c r="C271" s="1">
        <f>LN(dane_7[[#This Row],[Dane wejściowe posortowane]])</f>
        <v>5.9899634209817147</v>
      </c>
      <c r="D271" s="1">
        <v>270</v>
      </c>
      <c r="G271" s="1">
        <f>dane_7[[#This Row],[Nr próbki]]/($G$1+1)</f>
        <v>0.26973026973026976</v>
      </c>
      <c r="H271" s="1">
        <f>(dane_7[[#This Row],[Logarytm naturalny]]-$I$2)/$J$2</f>
        <v>-0.37975216547879154</v>
      </c>
      <c r="M271" s="1">
        <f t="shared" si="4"/>
        <v>0.35206469665044621</v>
      </c>
    </row>
    <row r="272" spans="1:13" x14ac:dyDescent="0.25">
      <c r="A272" s="1">
        <v>399.4</v>
      </c>
      <c r="B272" s="1">
        <v>399.4</v>
      </c>
      <c r="C272" s="1">
        <f>LN(dane_7[[#This Row],[Dane wejściowe posortowane]])</f>
        <v>5.9899634209817147</v>
      </c>
      <c r="D272" s="1">
        <v>271</v>
      </c>
      <c r="G272" s="1">
        <f>dane_7[[#This Row],[Nr próbki]]/($G$1+1)</f>
        <v>0.27072927072927072</v>
      </c>
      <c r="H272" s="1">
        <f>(dane_7[[#This Row],[Logarytm naturalny]]-$I$2)/$J$2</f>
        <v>-0.37975216547879154</v>
      </c>
      <c r="M272" s="1">
        <f t="shared" si="4"/>
        <v>0.35206469665044621</v>
      </c>
    </row>
    <row r="273" spans="1:13" x14ac:dyDescent="0.25">
      <c r="A273" s="1">
        <v>399.4</v>
      </c>
      <c r="B273" s="1">
        <v>399.4</v>
      </c>
      <c r="C273" s="1">
        <f>LN(dane_7[[#This Row],[Dane wejściowe posortowane]])</f>
        <v>5.9899634209817147</v>
      </c>
      <c r="D273" s="1">
        <v>272</v>
      </c>
      <c r="G273" s="1">
        <f>dane_7[[#This Row],[Nr próbki]]/($G$1+1)</f>
        <v>0.27172827172827174</v>
      </c>
      <c r="H273" s="1">
        <f>(dane_7[[#This Row],[Logarytm naturalny]]-$I$2)/$J$2</f>
        <v>-0.37975216547879154</v>
      </c>
      <c r="M273" s="1">
        <f t="shared" si="4"/>
        <v>0.35206469665044621</v>
      </c>
    </row>
    <row r="274" spans="1:13" x14ac:dyDescent="0.25">
      <c r="A274" s="1">
        <v>399.4</v>
      </c>
      <c r="B274" s="1">
        <v>399.4</v>
      </c>
      <c r="C274" s="1">
        <f>LN(dane_7[[#This Row],[Dane wejściowe posortowane]])</f>
        <v>5.9899634209817147</v>
      </c>
      <c r="D274" s="1">
        <v>273</v>
      </c>
      <c r="G274" s="1">
        <f>dane_7[[#This Row],[Nr próbki]]/($G$1+1)</f>
        <v>0.27272727272727271</v>
      </c>
      <c r="H274" s="1">
        <f>(dane_7[[#This Row],[Logarytm naturalny]]-$I$2)/$J$2</f>
        <v>-0.37975216547879154</v>
      </c>
      <c r="M274" s="1">
        <f t="shared" si="4"/>
        <v>0.35206469665044621</v>
      </c>
    </row>
    <row r="275" spans="1:13" x14ac:dyDescent="0.25">
      <c r="A275" s="1">
        <v>399.4</v>
      </c>
      <c r="B275" s="1">
        <v>399.4</v>
      </c>
      <c r="C275" s="1">
        <f>LN(dane_7[[#This Row],[Dane wejściowe posortowane]])</f>
        <v>5.9899634209817147</v>
      </c>
      <c r="D275" s="1">
        <v>274</v>
      </c>
      <c r="G275" s="1">
        <f>dane_7[[#This Row],[Nr próbki]]/($G$1+1)</f>
        <v>0.27372627372627373</v>
      </c>
      <c r="H275" s="1">
        <f>(dane_7[[#This Row],[Logarytm naturalny]]-$I$2)/$J$2</f>
        <v>-0.37975216547879154</v>
      </c>
      <c r="M275" s="1">
        <f t="shared" si="4"/>
        <v>0.35206469665044621</v>
      </c>
    </row>
    <row r="276" spans="1:13" x14ac:dyDescent="0.25">
      <c r="A276" s="1">
        <v>399.4</v>
      </c>
      <c r="B276" s="1">
        <v>399.4</v>
      </c>
      <c r="C276" s="1">
        <f>LN(dane_7[[#This Row],[Dane wejściowe posortowane]])</f>
        <v>5.9899634209817147</v>
      </c>
      <c r="D276" s="1">
        <v>275</v>
      </c>
      <c r="G276" s="1">
        <f>dane_7[[#This Row],[Nr próbki]]/($G$1+1)</f>
        <v>0.27472527472527475</v>
      </c>
      <c r="H276" s="1">
        <f>(dane_7[[#This Row],[Logarytm naturalny]]-$I$2)/$J$2</f>
        <v>-0.37975216547879154</v>
      </c>
      <c r="M276" s="1">
        <f t="shared" si="4"/>
        <v>0.35206469665044621</v>
      </c>
    </row>
    <row r="277" spans="1:13" x14ac:dyDescent="0.25">
      <c r="A277" s="1">
        <v>399.4</v>
      </c>
      <c r="B277" s="1">
        <v>399.4</v>
      </c>
      <c r="C277" s="1">
        <f>LN(dane_7[[#This Row],[Dane wejściowe posortowane]])</f>
        <v>5.9899634209817147</v>
      </c>
      <c r="D277" s="1">
        <v>276</v>
      </c>
      <c r="G277" s="1">
        <f>dane_7[[#This Row],[Nr próbki]]/($G$1+1)</f>
        <v>0.27572427572427571</v>
      </c>
      <c r="H277" s="1">
        <f>(dane_7[[#This Row],[Logarytm naturalny]]-$I$2)/$J$2</f>
        <v>-0.37975216547879154</v>
      </c>
      <c r="M277" s="1">
        <f t="shared" si="4"/>
        <v>0.35206469665044621</v>
      </c>
    </row>
    <row r="278" spans="1:13" x14ac:dyDescent="0.25">
      <c r="A278" s="1">
        <v>399.4</v>
      </c>
      <c r="B278" s="1">
        <v>399.4</v>
      </c>
      <c r="C278" s="1">
        <f>LN(dane_7[[#This Row],[Dane wejściowe posortowane]])</f>
        <v>5.9899634209817147</v>
      </c>
      <c r="D278" s="1">
        <v>277</v>
      </c>
      <c r="G278" s="1">
        <f>dane_7[[#This Row],[Nr próbki]]/($G$1+1)</f>
        <v>0.27672327672327673</v>
      </c>
      <c r="H278" s="1">
        <f>(dane_7[[#This Row],[Logarytm naturalny]]-$I$2)/$J$2</f>
        <v>-0.37975216547879154</v>
      </c>
      <c r="M278" s="1">
        <f t="shared" si="4"/>
        <v>0.35206469665044621</v>
      </c>
    </row>
    <row r="279" spans="1:13" x14ac:dyDescent="0.25">
      <c r="A279" s="1">
        <v>399.4</v>
      </c>
      <c r="B279" s="1">
        <v>399.4</v>
      </c>
      <c r="C279" s="1">
        <f>LN(dane_7[[#This Row],[Dane wejściowe posortowane]])</f>
        <v>5.9899634209817147</v>
      </c>
      <c r="D279" s="1">
        <v>278</v>
      </c>
      <c r="G279" s="1">
        <f>dane_7[[#This Row],[Nr próbki]]/($G$1+1)</f>
        <v>0.2777222777222777</v>
      </c>
      <c r="H279" s="1">
        <f>(dane_7[[#This Row],[Logarytm naturalny]]-$I$2)/$J$2</f>
        <v>-0.37975216547879154</v>
      </c>
      <c r="M279" s="1">
        <f t="shared" si="4"/>
        <v>0.35206469665044621</v>
      </c>
    </row>
    <row r="280" spans="1:13" x14ac:dyDescent="0.25">
      <c r="A280" s="1">
        <v>399.4</v>
      </c>
      <c r="B280" s="1">
        <v>399.4</v>
      </c>
      <c r="C280" s="1">
        <f>LN(dane_7[[#This Row],[Dane wejściowe posortowane]])</f>
        <v>5.9899634209817147</v>
      </c>
      <c r="D280" s="1">
        <v>279</v>
      </c>
      <c r="G280" s="1">
        <f>dane_7[[#This Row],[Nr próbki]]/($G$1+1)</f>
        <v>0.27872127872127872</v>
      </c>
      <c r="H280" s="1">
        <f>(dane_7[[#This Row],[Logarytm naturalny]]-$I$2)/$J$2</f>
        <v>-0.37975216547879154</v>
      </c>
      <c r="M280" s="1">
        <f t="shared" si="4"/>
        <v>0.35206469665044621</v>
      </c>
    </row>
    <row r="281" spans="1:13" x14ac:dyDescent="0.25">
      <c r="A281" s="1">
        <v>399.4</v>
      </c>
      <c r="B281" s="1">
        <v>399.4</v>
      </c>
      <c r="C281" s="1">
        <f>LN(dane_7[[#This Row],[Dane wejściowe posortowane]])</f>
        <v>5.9899634209817147</v>
      </c>
      <c r="D281" s="1">
        <v>280</v>
      </c>
      <c r="G281" s="1">
        <f>dane_7[[#This Row],[Nr próbki]]/($G$1+1)</f>
        <v>0.27972027972027974</v>
      </c>
      <c r="H281" s="1">
        <f>(dane_7[[#This Row],[Logarytm naturalny]]-$I$2)/$J$2</f>
        <v>-0.37975216547879154</v>
      </c>
      <c r="M281" s="1">
        <f t="shared" si="4"/>
        <v>0.35206469665044621</v>
      </c>
    </row>
    <row r="282" spans="1:13" x14ac:dyDescent="0.25">
      <c r="A282" s="1">
        <v>399.4</v>
      </c>
      <c r="B282" s="1">
        <v>399.4</v>
      </c>
      <c r="C282" s="1">
        <f>LN(dane_7[[#This Row],[Dane wejściowe posortowane]])</f>
        <v>5.9899634209817147</v>
      </c>
      <c r="D282" s="1">
        <v>281</v>
      </c>
      <c r="G282" s="1">
        <f>dane_7[[#This Row],[Nr próbki]]/($G$1+1)</f>
        <v>0.28071928071928071</v>
      </c>
      <c r="H282" s="1">
        <f>(dane_7[[#This Row],[Logarytm naturalny]]-$I$2)/$J$2</f>
        <v>-0.37975216547879154</v>
      </c>
      <c r="M282" s="1">
        <f t="shared" si="4"/>
        <v>0.35206469665044621</v>
      </c>
    </row>
    <row r="283" spans="1:13" x14ac:dyDescent="0.25">
      <c r="A283" s="1">
        <v>399.4</v>
      </c>
      <c r="B283" s="1">
        <v>399.4</v>
      </c>
      <c r="C283" s="1">
        <f>LN(dane_7[[#This Row],[Dane wejściowe posortowane]])</f>
        <v>5.9899634209817147</v>
      </c>
      <c r="D283" s="1">
        <v>282</v>
      </c>
      <c r="G283" s="1">
        <f>dane_7[[#This Row],[Nr próbki]]/($G$1+1)</f>
        <v>0.28171828171828173</v>
      </c>
      <c r="H283" s="1">
        <f>(dane_7[[#This Row],[Logarytm naturalny]]-$I$2)/$J$2</f>
        <v>-0.37975216547879154</v>
      </c>
      <c r="M283" s="1">
        <f t="shared" si="4"/>
        <v>0.35206469665044621</v>
      </c>
    </row>
    <row r="284" spans="1:13" x14ac:dyDescent="0.25">
      <c r="A284" s="1">
        <v>399.4</v>
      </c>
      <c r="B284" s="1">
        <v>399.4</v>
      </c>
      <c r="C284" s="1">
        <f>LN(dane_7[[#This Row],[Dane wejściowe posortowane]])</f>
        <v>5.9899634209817147</v>
      </c>
      <c r="D284" s="1">
        <v>283</v>
      </c>
      <c r="G284" s="1">
        <f>dane_7[[#This Row],[Nr próbki]]/($G$1+1)</f>
        <v>0.28271728271728269</v>
      </c>
      <c r="H284" s="1">
        <f>(dane_7[[#This Row],[Logarytm naturalny]]-$I$2)/$J$2</f>
        <v>-0.37975216547879154</v>
      </c>
      <c r="M284" s="1">
        <f t="shared" si="4"/>
        <v>0.35206469665044621</v>
      </c>
    </row>
    <row r="285" spans="1:13" x14ac:dyDescent="0.25">
      <c r="A285" s="1">
        <v>399.5</v>
      </c>
      <c r="B285" s="1">
        <v>399.5</v>
      </c>
      <c r="C285" s="1">
        <f>LN(dane_7[[#This Row],[Dane wejściowe posortowane]])</f>
        <v>5.9902137652063292</v>
      </c>
      <c r="D285" s="1">
        <v>284</v>
      </c>
      <c r="G285" s="1">
        <f>dane_7[[#This Row],[Nr próbki]]/($G$1+1)</f>
        <v>0.28371628371628371</v>
      </c>
      <c r="H285" s="1">
        <f>(dane_7[[#This Row],[Logarytm naturalny]]-$I$2)/$J$2</f>
        <v>-0.3452791919941417</v>
      </c>
      <c r="M285" s="1">
        <f t="shared" si="4"/>
        <v>0.36494224413468934</v>
      </c>
    </row>
    <row r="286" spans="1:13" x14ac:dyDescent="0.25">
      <c r="A286" s="1">
        <v>399.5</v>
      </c>
      <c r="B286" s="1">
        <v>399.5</v>
      </c>
      <c r="C286" s="1">
        <f>LN(dane_7[[#This Row],[Dane wejściowe posortowane]])</f>
        <v>5.9902137652063292</v>
      </c>
      <c r="D286" s="1">
        <v>285</v>
      </c>
      <c r="G286" s="1">
        <f>dane_7[[#This Row],[Nr próbki]]/($G$1+1)</f>
        <v>0.28471528471528473</v>
      </c>
      <c r="H286" s="1">
        <f>(dane_7[[#This Row],[Logarytm naturalny]]-$I$2)/$J$2</f>
        <v>-0.3452791919941417</v>
      </c>
      <c r="M286" s="1">
        <f t="shared" si="4"/>
        <v>0.36494224413468934</v>
      </c>
    </row>
    <row r="287" spans="1:13" x14ac:dyDescent="0.25">
      <c r="A287" s="1">
        <v>399.5</v>
      </c>
      <c r="B287" s="1">
        <v>399.5</v>
      </c>
      <c r="C287" s="1">
        <f>LN(dane_7[[#This Row],[Dane wejściowe posortowane]])</f>
        <v>5.9902137652063292</v>
      </c>
      <c r="D287" s="1">
        <v>286</v>
      </c>
      <c r="G287" s="1">
        <f>dane_7[[#This Row],[Nr próbki]]/($G$1+1)</f>
        <v>0.2857142857142857</v>
      </c>
      <c r="H287" s="1">
        <f>(dane_7[[#This Row],[Logarytm naturalny]]-$I$2)/$J$2</f>
        <v>-0.3452791919941417</v>
      </c>
      <c r="M287" s="1">
        <f t="shared" si="4"/>
        <v>0.36494224413468934</v>
      </c>
    </row>
    <row r="288" spans="1:13" x14ac:dyDescent="0.25">
      <c r="A288" s="1">
        <v>399.5</v>
      </c>
      <c r="B288" s="1">
        <v>399.5</v>
      </c>
      <c r="C288" s="1">
        <f>LN(dane_7[[#This Row],[Dane wejściowe posortowane]])</f>
        <v>5.9902137652063292</v>
      </c>
      <c r="D288" s="1">
        <v>287</v>
      </c>
      <c r="G288" s="1">
        <f>dane_7[[#This Row],[Nr próbki]]/($G$1+1)</f>
        <v>0.28671328671328672</v>
      </c>
      <c r="H288" s="1">
        <f>(dane_7[[#This Row],[Logarytm naturalny]]-$I$2)/$J$2</f>
        <v>-0.3452791919941417</v>
      </c>
      <c r="M288" s="1">
        <f t="shared" si="4"/>
        <v>0.36494224413468934</v>
      </c>
    </row>
    <row r="289" spans="1:13" x14ac:dyDescent="0.25">
      <c r="A289" s="1">
        <v>399.5</v>
      </c>
      <c r="B289" s="1">
        <v>399.5</v>
      </c>
      <c r="C289" s="1">
        <f>LN(dane_7[[#This Row],[Dane wejściowe posortowane]])</f>
        <v>5.9902137652063292</v>
      </c>
      <c r="D289" s="1">
        <v>288</v>
      </c>
      <c r="G289" s="1">
        <f>dane_7[[#This Row],[Nr próbki]]/($G$1+1)</f>
        <v>0.28771228771228774</v>
      </c>
      <c r="H289" s="1">
        <f>(dane_7[[#This Row],[Logarytm naturalny]]-$I$2)/$J$2</f>
        <v>-0.3452791919941417</v>
      </c>
      <c r="M289" s="1">
        <f t="shared" si="4"/>
        <v>0.36494224413468934</v>
      </c>
    </row>
    <row r="290" spans="1:13" x14ac:dyDescent="0.25">
      <c r="A290" s="1">
        <v>399.5</v>
      </c>
      <c r="B290" s="1">
        <v>399.5</v>
      </c>
      <c r="C290" s="1">
        <f>LN(dane_7[[#This Row],[Dane wejściowe posortowane]])</f>
        <v>5.9902137652063292</v>
      </c>
      <c r="D290" s="1">
        <v>289</v>
      </c>
      <c r="G290" s="1">
        <f>dane_7[[#This Row],[Nr próbki]]/($G$1+1)</f>
        <v>0.2887112887112887</v>
      </c>
      <c r="H290" s="1">
        <f>(dane_7[[#This Row],[Logarytm naturalny]]-$I$2)/$J$2</f>
        <v>-0.3452791919941417</v>
      </c>
      <c r="M290" s="1">
        <f t="shared" si="4"/>
        <v>0.36494224413468934</v>
      </c>
    </row>
    <row r="291" spans="1:13" x14ac:dyDescent="0.25">
      <c r="A291" s="1">
        <v>399.5</v>
      </c>
      <c r="B291" s="1">
        <v>399.5</v>
      </c>
      <c r="C291" s="1">
        <f>LN(dane_7[[#This Row],[Dane wejściowe posortowane]])</f>
        <v>5.9902137652063292</v>
      </c>
      <c r="D291" s="1">
        <v>290</v>
      </c>
      <c r="G291" s="1">
        <f>dane_7[[#This Row],[Nr próbki]]/($G$1+1)</f>
        <v>0.28971028971028973</v>
      </c>
      <c r="H291" s="1">
        <f>(dane_7[[#This Row],[Logarytm naturalny]]-$I$2)/$J$2</f>
        <v>-0.3452791919941417</v>
      </c>
      <c r="M291" s="1">
        <f t="shared" si="4"/>
        <v>0.36494224413468934</v>
      </c>
    </row>
    <row r="292" spans="1:13" x14ac:dyDescent="0.25">
      <c r="A292" s="1">
        <v>399.5</v>
      </c>
      <c r="B292" s="1">
        <v>399.5</v>
      </c>
      <c r="C292" s="1">
        <f>LN(dane_7[[#This Row],[Dane wejściowe posortowane]])</f>
        <v>5.9902137652063292</v>
      </c>
      <c r="D292" s="1">
        <v>291</v>
      </c>
      <c r="G292" s="1">
        <f>dane_7[[#This Row],[Nr próbki]]/($G$1+1)</f>
        <v>0.29070929070929069</v>
      </c>
      <c r="H292" s="1">
        <f>(dane_7[[#This Row],[Logarytm naturalny]]-$I$2)/$J$2</f>
        <v>-0.3452791919941417</v>
      </c>
      <c r="M292" s="1">
        <f t="shared" si="4"/>
        <v>0.36494224413468934</v>
      </c>
    </row>
    <row r="293" spans="1:13" x14ac:dyDescent="0.25">
      <c r="A293" s="1">
        <v>399.5</v>
      </c>
      <c r="B293" s="1">
        <v>399.5</v>
      </c>
      <c r="C293" s="1">
        <f>LN(dane_7[[#This Row],[Dane wejściowe posortowane]])</f>
        <v>5.9902137652063292</v>
      </c>
      <c r="D293" s="1">
        <v>292</v>
      </c>
      <c r="G293" s="1">
        <f>dane_7[[#This Row],[Nr próbki]]/($G$1+1)</f>
        <v>0.29170829170829171</v>
      </c>
      <c r="H293" s="1">
        <f>(dane_7[[#This Row],[Logarytm naturalny]]-$I$2)/$J$2</f>
        <v>-0.3452791919941417</v>
      </c>
      <c r="M293" s="1">
        <f t="shared" si="4"/>
        <v>0.36494224413468934</v>
      </c>
    </row>
    <row r="294" spans="1:13" x14ac:dyDescent="0.25">
      <c r="A294" s="1">
        <v>399.5</v>
      </c>
      <c r="B294" s="1">
        <v>399.5</v>
      </c>
      <c r="C294" s="1">
        <f>LN(dane_7[[#This Row],[Dane wejściowe posortowane]])</f>
        <v>5.9902137652063292</v>
      </c>
      <c r="D294" s="1">
        <v>293</v>
      </c>
      <c r="G294" s="1">
        <f>dane_7[[#This Row],[Nr próbki]]/($G$1+1)</f>
        <v>0.29270729270729273</v>
      </c>
      <c r="H294" s="1">
        <f>(dane_7[[#This Row],[Logarytm naturalny]]-$I$2)/$J$2</f>
        <v>-0.3452791919941417</v>
      </c>
      <c r="M294" s="1">
        <f t="shared" si="4"/>
        <v>0.36494224413468934</v>
      </c>
    </row>
    <row r="295" spans="1:13" x14ac:dyDescent="0.25">
      <c r="A295" s="1">
        <v>399.5</v>
      </c>
      <c r="B295" s="1">
        <v>399.5</v>
      </c>
      <c r="C295" s="1">
        <f>LN(dane_7[[#This Row],[Dane wejściowe posortowane]])</f>
        <v>5.9902137652063292</v>
      </c>
      <c r="D295" s="1">
        <v>294</v>
      </c>
      <c r="G295" s="1">
        <f>dane_7[[#This Row],[Nr próbki]]/($G$1+1)</f>
        <v>0.2937062937062937</v>
      </c>
      <c r="H295" s="1">
        <f>(dane_7[[#This Row],[Logarytm naturalny]]-$I$2)/$J$2</f>
        <v>-0.3452791919941417</v>
      </c>
      <c r="M295" s="1">
        <f t="shared" si="4"/>
        <v>0.36494224413468934</v>
      </c>
    </row>
    <row r="296" spans="1:13" x14ac:dyDescent="0.25">
      <c r="A296" s="1">
        <v>399.6</v>
      </c>
      <c r="B296" s="1">
        <v>399.6</v>
      </c>
      <c r="C296" s="1">
        <f>LN(dane_7[[#This Row],[Dane wejściowe posortowane]])</f>
        <v>5.9904640467743988</v>
      </c>
      <c r="D296" s="1">
        <v>295</v>
      </c>
      <c r="G296" s="1">
        <f>dane_7[[#This Row],[Nr próbki]]/($G$1+1)</f>
        <v>0.29470529470529472</v>
      </c>
      <c r="H296" s="1">
        <f>(dane_7[[#This Row],[Logarytm naturalny]]-$I$2)/$J$2</f>
        <v>-0.31081484645931684</v>
      </c>
      <c r="M296" s="1">
        <f t="shared" si="4"/>
        <v>0.37797069124146598</v>
      </c>
    </row>
    <row r="297" spans="1:13" x14ac:dyDescent="0.25">
      <c r="A297" s="1">
        <v>399.6</v>
      </c>
      <c r="B297" s="1">
        <v>399.6</v>
      </c>
      <c r="C297" s="1">
        <f>LN(dane_7[[#This Row],[Dane wejściowe posortowane]])</f>
        <v>5.9904640467743988</v>
      </c>
      <c r="D297" s="1">
        <v>296</v>
      </c>
      <c r="G297" s="1">
        <f>dane_7[[#This Row],[Nr próbki]]/($G$1+1)</f>
        <v>0.29570429570429568</v>
      </c>
      <c r="H297" s="1">
        <f>(dane_7[[#This Row],[Logarytm naturalny]]-$I$2)/$J$2</f>
        <v>-0.31081484645931684</v>
      </c>
      <c r="M297" s="1">
        <f t="shared" si="4"/>
        <v>0.37797069124146598</v>
      </c>
    </row>
    <row r="298" spans="1:13" x14ac:dyDescent="0.25">
      <c r="A298" s="1">
        <v>399.6</v>
      </c>
      <c r="B298" s="1">
        <v>399.6</v>
      </c>
      <c r="C298" s="1">
        <f>LN(dane_7[[#This Row],[Dane wejściowe posortowane]])</f>
        <v>5.9904640467743988</v>
      </c>
      <c r="D298" s="1">
        <v>297</v>
      </c>
      <c r="G298" s="1">
        <f>dane_7[[#This Row],[Nr próbki]]/($G$1+1)</f>
        <v>0.2967032967032967</v>
      </c>
      <c r="H298" s="1">
        <f>(dane_7[[#This Row],[Logarytm naturalny]]-$I$2)/$J$2</f>
        <v>-0.31081484645931684</v>
      </c>
      <c r="M298" s="1">
        <f t="shared" si="4"/>
        <v>0.37797069124146598</v>
      </c>
    </row>
    <row r="299" spans="1:13" x14ac:dyDescent="0.25">
      <c r="A299" s="1">
        <v>399.6</v>
      </c>
      <c r="B299" s="1">
        <v>399.6</v>
      </c>
      <c r="C299" s="1">
        <f>LN(dane_7[[#This Row],[Dane wejściowe posortowane]])</f>
        <v>5.9904640467743988</v>
      </c>
      <c r="D299" s="1">
        <v>298</v>
      </c>
      <c r="G299" s="1">
        <f>dane_7[[#This Row],[Nr próbki]]/($G$1+1)</f>
        <v>0.29770229770229772</v>
      </c>
      <c r="H299" s="1">
        <f>(dane_7[[#This Row],[Logarytm naturalny]]-$I$2)/$J$2</f>
        <v>-0.31081484645931684</v>
      </c>
      <c r="M299" s="1">
        <f t="shared" si="4"/>
        <v>0.37797069124146598</v>
      </c>
    </row>
    <row r="300" spans="1:13" x14ac:dyDescent="0.25">
      <c r="A300" s="1">
        <v>399.6</v>
      </c>
      <c r="B300" s="1">
        <v>399.6</v>
      </c>
      <c r="C300" s="1">
        <f>LN(dane_7[[#This Row],[Dane wejściowe posortowane]])</f>
        <v>5.9904640467743988</v>
      </c>
      <c r="D300" s="1">
        <v>299</v>
      </c>
      <c r="G300" s="1">
        <f>dane_7[[#This Row],[Nr próbki]]/($G$1+1)</f>
        <v>0.29870129870129869</v>
      </c>
      <c r="H300" s="1">
        <f>(dane_7[[#This Row],[Logarytm naturalny]]-$I$2)/$J$2</f>
        <v>-0.31081484645931684</v>
      </c>
      <c r="M300" s="1">
        <f t="shared" si="4"/>
        <v>0.37797069124146598</v>
      </c>
    </row>
    <row r="301" spans="1:13" x14ac:dyDescent="0.25">
      <c r="A301" s="1">
        <v>399.7</v>
      </c>
      <c r="B301" s="1">
        <v>399.7</v>
      </c>
      <c r="C301" s="1">
        <f>LN(dane_7[[#This Row],[Dane wejściowe posortowane]])</f>
        <v>5.9907142657172781</v>
      </c>
      <c r="D301" s="1">
        <v>300</v>
      </c>
      <c r="G301" s="1">
        <f>dane_7[[#This Row],[Nr próbki]]/($G$1+1)</f>
        <v>0.29970029970029971</v>
      </c>
      <c r="H301" s="1">
        <f>(dane_7[[#This Row],[Logarytm naturalny]]-$I$2)/$J$2</f>
        <v>-0.27635912455673406</v>
      </c>
      <c r="M301" s="1">
        <f t="shared" si="4"/>
        <v>0.39113612423762922</v>
      </c>
    </row>
    <row r="302" spans="1:13" x14ac:dyDescent="0.25">
      <c r="A302" s="1">
        <v>399.7</v>
      </c>
      <c r="B302" s="1">
        <v>399.7</v>
      </c>
      <c r="C302" s="1">
        <f>LN(dane_7[[#This Row],[Dane wejściowe posortowane]])</f>
        <v>5.9907142657172781</v>
      </c>
      <c r="D302" s="1">
        <v>301</v>
      </c>
      <c r="G302" s="1">
        <f>dane_7[[#This Row],[Nr próbki]]/($G$1+1)</f>
        <v>0.30069930069930068</v>
      </c>
      <c r="H302" s="1">
        <f>(dane_7[[#This Row],[Logarytm naturalny]]-$I$2)/$J$2</f>
        <v>-0.27635912455673406</v>
      </c>
      <c r="M302" s="1">
        <f t="shared" si="4"/>
        <v>0.39113612423762922</v>
      </c>
    </row>
    <row r="303" spans="1:13" x14ac:dyDescent="0.25">
      <c r="A303" s="1">
        <v>399.7</v>
      </c>
      <c r="B303" s="1">
        <v>399.7</v>
      </c>
      <c r="C303" s="1">
        <f>LN(dane_7[[#This Row],[Dane wejściowe posortowane]])</f>
        <v>5.9907142657172781</v>
      </c>
      <c r="D303" s="1">
        <v>302</v>
      </c>
      <c r="G303" s="1">
        <f>dane_7[[#This Row],[Nr próbki]]/($G$1+1)</f>
        <v>0.3016983016983017</v>
      </c>
      <c r="H303" s="1">
        <f>(dane_7[[#This Row],[Logarytm naturalny]]-$I$2)/$J$2</f>
        <v>-0.27635912455673406</v>
      </c>
      <c r="M303" s="1">
        <f t="shared" si="4"/>
        <v>0.39113612423762922</v>
      </c>
    </row>
    <row r="304" spans="1:13" x14ac:dyDescent="0.25">
      <c r="A304" s="1">
        <v>399.7</v>
      </c>
      <c r="B304" s="1">
        <v>399.7</v>
      </c>
      <c r="C304" s="1">
        <f>LN(dane_7[[#This Row],[Dane wejściowe posortowane]])</f>
        <v>5.9907142657172781</v>
      </c>
      <c r="D304" s="1">
        <v>303</v>
      </c>
      <c r="G304" s="1">
        <f>dane_7[[#This Row],[Nr próbki]]/($G$1+1)</f>
        <v>0.30269730269730272</v>
      </c>
      <c r="H304" s="1">
        <f>(dane_7[[#This Row],[Logarytm naturalny]]-$I$2)/$J$2</f>
        <v>-0.27635912455673406</v>
      </c>
      <c r="M304" s="1">
        <f t="shared" si="4"/>
        <v>0.39113612423762922</v>
      </c>
    </row>
    <row r="305" spans="1:13" x14ac:dyDescent="0.25">
      <c r="A305" s="1">
        <v>399.7</v>
      </c>
      <c r="B305" s="1">
        <v>399.7</v>
      </c>
      <c r="C305" s="1">
        <f>LN(dane_7[[#This Row],[Dane wejściowe posortowane]])</f>
        <v>5.9907142657172781</v>
      </c>
      <c r="D305" s="1">
        <v>304</v>
      </c>
      <c r="G305" s="1">
        <f>dane_7[[#This Row],[Nr próbki]]/($G$1+1)</f>
        <v>0.30369630369630368</v>
      </c>
      <c r="H305" s="1">
        <f>(dane_7[[#This Row],[Logarytm naturalny]]-$I$2)/$J$2</f>
        <v>-0.27635912455673406</v>
      </c>
      <c r="M305" s="1">
        <f t="shared" si="4"/>
        <v>0.39113612423762922</v>
      </c>
    </row>
    <row r="306" spans="1:13" x14ac:dyDescent="0.25">
      <c r="A306" s="1">
        <v>399.7</v>
      </c>
      <c r="B306" s="1">
        <v>399.7</v>
      </c>
      <c r="C306" s="1">
        <f>LN(dane_7[[#This Row],[Dane wejściowe posortowane]])</f>
        <v>5.9907142657172781</v>
      </c>
      <c r="D306" s="1">
        <v>305</v>
      </c>
      <c r="G306" s="1">
        <f>dane_7[[#This Row],[Nr próbki]]/($G$1+1)</f>
        <v>0.3046953046953047</v>
      </c>
      <c r="H306" s="1">
        <f>(dane_7[[#This Row],[Logarytm naturalny]]-$I$2)/$J$2</f>
        <v>-0.27635912455673406</v>
      </c>
      <c r="M306" s="1">
        <f t="shared" si="4"/>
        <v>0.39113612423762922</v>
      </c>
    </row>
    <row r="307" spans="1:13" x14ac:dyDescent="0.25">
      <c r="A307" s="1">
        <v>399.7</v>
      </c>
      <c r="B307" s="1">
        <v>399.7</v>
      </c>
      <c r="C307" s="1">
        <f>LN(dane_7[[#This Row],[Dane wejściowe posortowane]])</f>
        <v>5.9907142657172781</v>
      </c>
      <c r="D307" s="1">
        <v>306</v>
      </c>
      <c r="G307" s="1">
        <f>dane_7[[#This Row],[Nr próbki]]/($G$1+1)</f>
        <v>0.30569430569430567</v>
      </c>
      <c r="H307" s="1">
        <f>(dane_7[[#This Row],[Logarytm naturalny]]-$I$2)/$J$2</f>
        <v>-0.27635912455673406</v>
      </c>
      <c r="M307" s="1">
        <f t="shared" si="4"/>
        <v>0.39113612423762922</v>
      </c>
    </row>
    <row r="308" spans="1:13" x14ac:dyDescent="0.25">
      <c r="A308" s="1">
        <v>399.7</v>
      </c>
      <c r="B308" s="1">
        <v>399.7</v>
      </c>
      <c r="C308" s="1">
        <f>LN(dane_7[[#This Row],[Dane wejściowe posortowane]])</f>
        <v>5.9907142657172781</v>
      </c>
      <c r="D308" s="1">
        <v>307</v>
      </c>
      <c r="G308" s="1">
        <f>dane_7[[#This Row],[Nr próbki]]/($G$1+1)</f>
        <v>0.30669330669330669</v>
      </c>
      <c r="H308" s="1">
        <f>(dane_7[[#This Row],[Logarytm naturalny]]-$I$2)/$J$2</f>
        <v>-0.27635912455673406</v>
      </c>
      <c r="M308" s="1">
        <f t="shared" si="4"/>
        <v>0.39113612423762922</v>
      </c>
    </row>
    <row r="309" spans="1:13" x14ac:dyDescent="0.25">
      <c r="A309" s="1">
        <v>399.8</v>
      </c>
      <c r="B309" s="1">
        <v>399.8</v>
      </c>
      <c r="C309" s="1">
        <f>LN(dane_7[[#This Row],[Dane wejściowe posortowane]])</f>
        <v>5.9909644220663001</v>
      </c>
      <c r="D309" s="1">
        <v>308</v>
      </c>
      <c r="G309" s="1">
        <f>dane_7[[#This Row],[Nr próbki]]/($G$1+1)</f>
        <v>0.30769230769230771</v>
      </c>
      <c r="H309" s="1">
        <f>(dane_7[[#This Row],[Logarytm naturalny]]-$I$2)/$J$2</f>
        <v>-0.24191202197174552</v>
      </c>
      <c r="M309" s="1">
        <f t="shared" si="4"/>
        <v>0.40442416729004493</v>
      </c>
    </row>
    <row r="310" spans="1:13" x14ac:dyDescent="0.25">
      <c r="A310" s="1">
        <v>399.8</v>
      </c>
      <c r="B310" s="1">
        <v>399.8</v>
      </c>
      <c r="C310" s="1">
        <f>LN(dane_7[[#This Row],[Dane wejściowe posortowane]])</f>
        <v>5.9909644220663001</v>
      </c>
      <c r="D310" s="1">
        <v>309</v>
      </c>
      <c r="G310" s="1">
        <f>dane_7[[#This Row],[Nr próbki]]/($G$1+1)</f>
        <v>0.30869130869130867</v>
      </c>
      <c r="H310" s="1">
        <f>(dane_7[[#This Row],[Logarytm naturalny]]-$I$2)/$J$2</f>
        <v>-0.24191202197174552</v>
      </c>
      <c r="M310" s="1">
        <f t="shared" si="4"/>
        <v>0.40442416729004493</v>
      </c>
    </row>
    <row r="311" spans="1:13" x14ac:dyDescent="0.25">
      <c r="A311" s="1">
        <v>399.8</v>
      </c>
      <c r="B311" s="1">
        <v>399.8</v>
      </c>
      <c r="C311" s="1">
        <f>LN(dane_7[[#This Row],[Dane wejściowe posortowane]])</f>
        <v>5.9909644220663001</v>
      </c>
      <c r="D311" s="1">
        <v>310</v>
      </c>
      <c r="G311" s="1">
        <f>dane_7[[#This Row],[Nr próbki]]/($G$1+1)</f>
        <v>0.3096903096903097</v>
      </c>
      <c r="H311" s="1">
        <f>(dane_7[[#This Row],[Logarytm naturalny]]-$I$2)/$J$2</f>
        <v>-0.24191202197174552</v>
      </c>
      <c r="M311" s="1">
        <f t="shared" si="4"/>
        <v>0.40442416729004493</v>
      </c>
    </row>
    <row r="312" spans="1:13" x14ac:dyDescent="0.25">
      <c r="A312" s="1">
        <v>399.8</v>
      </c>
      <c r="B312" s="1">
        <v>399.8</v>
      </c>
      <c r="C312" s="1">
        <f>LN(dane_7[[#This Row],[Dane wejściowe posortowane]])</f>
        <v>5.9909644220663001</v>
      </c>
      <c r="D312" s="1">
        <v>311</v>
      </c>
      <c r="G312" s="1">
        <f>dane_7[[#This Row],[Nr próbki]]/($G$1+1)</f>
        <v>0.31068931068931072</v>
      </c>
      <c r="H312" s="1">
        <f>(dane_7[[#This Row],[Logarytm naturalny]]-$I$2)/$J$2</f>
        <v>-0.24191202197174552</v>
      </c>
      <c r="M312" s="1">
        <f t="shared" si="4"/>
        <v>0.40442416729004493</v>
      </c>
    </row>
    <row r="313" spans="1:13" x14ac:dyDescent="0.25">
      <c r="A313" s="1">
        <v>399.8</v>
      </c>
      <c r="B313" s="1">
        <v>399.8</v>
      </c>
      <c r="C313" s="1">
        <f>LN(dane_7[[#This Row],[Dane wejściowe posortowane]])</f>
        <v>5.9909644220663001</v>
      </c>
      <c r="D313" s="1">
        <v>312</v>
      </c>
      <c r="G313" s="1">
        <f>dane_7[[#This Row],[Nr próbki]]/($G$1+1)</f>
        <v>0.31168831168831168</v>
      </c>
      <c r="H313" s="1">
        <f>(dane_7[[#This Row],[Logarytm naturalny]]-$I$2)/$J$2</f>
        <v>-0.24191202197174552</v>
      </c>
      <c r="M313" s="1">
        <f t="shared" si="4"/>
        <v>0.40442416729004493</v>
      </c>
    </row>
    <row r="314" spans="1:13" x14ac:dyDescent="0.25">
      <c r="A314" s="1">
        <v>399.9</v>
      </c>
      <c r="B314" s="1">
        <v>399.9</v>
      </c>
      <c r="C314" s="1">
        <f>LN(dane_7[[#This Row],[Dane wejściowe posortowane]])</f>
        <v>5.9912145158527723</v>
      </c>
      <c r="D314" s="1">
        <v>313</v>
      </c>
      <c r="G314" s="1">
        <f>dane_7[[#This Row],[Nr próbki]]/($G$1+1)</f>
        <v>0.3126873126873127</v>
      </c>
      <c r="H314" s="1">
        <f>(dane_7[[#This Row],[Logarytm naturalny]]-$I$2)/$J$2</f>
        <v>-0.20747353439325042</v>
      </c>
      <c r="M314" s="1">
        <f t="shared" si="4"/>
        <v>0.41782002974365029</v>
      </c>
    </row>
    <row r="315" spans="1:13" x14ac:dyDescent="0.25">
      <c r="A315" s="1">
        <v>399.9</v>
      </c>
      <c r="B315" s="1">
        <v>399.9</v>
      </c>
      <c r="C315" s="1">
        <f>LN(dane_7[[#This Row],[Dane wejściowe posortowane]])</f>
        <v>5.9912145158527723</v>
      </c>
      <c r="D315" s="1">
        <v>314</v>
      </c>
      <c r="G315" s="1">
        <f>dane_7[[#This Row],[Nr próbki]]/($G$1+1)</f>
        <v>0.31368631368631367</v>
      </c>
      <c r="H315" s="1">
        <f>(dane_7[[#This Row],[Logarytm naturalny]]-$I$2)/$J$2</f>
        <v>-0.20747353439325042</v>
      </c>
      <c r="M315" s="1">
        <f t="shared" si="4"/>
        <v>0.41782002974365029</v>
      </c>
    </row>
    <row r="316" spans="1:13" x14ac:dyDescent="0.25">
      <c r="A316" s="1">
        <v>399.9</v>
      </c>
      <c r="B316" s="1">
        <v>399.9</v>
      </c>
      <c r="C316" s="1">
        <f>LN(dane_7[[#This Row],[Dane wejściowe posortowane]])</f>
        <v>5.9912145158527723</v>
      </c>
      <c r="D316" s="1">
        <v>315</v>
      </c>
      <c r="G316" s="1">
        <f>dane_7[[#This Row],[Nr próbki]]/($G$1+1)</f>
        <v>0.31468531468531469</v>
      </c>
      <c r="H316" s="1">
        <f>(dane_7[[#This Row],[Logarytm naturalny]]-$I$2)/$J$2</f>
        <v>-0.20747353439325042</v>
      </c>
      <c r="M316" s="1">
        <f t="shared" si="4"/>
        <v>0.41782002974365029</v>
      </c>
    </row>
    <row r="317" spans="1:13" x14ac:dyDescent="0.25">
      <c r="A317" s="1">
        <v>399.9</v>
      </c>
      <c r="B317" s="1">
        <v>399.9</v>
      </c>
      <c r="C317" s="1">
        <f>LN(dane_7[[#This Row],[Dane wejściowe posortowane]])</f>
        <v>5.9912145158527723</v>
      </c>
      <c r="D317" s="1">
        <v>316</v>
      </c>
      <c r="G317" s="1">
        <f>dane_7[[#This Row],[Nr próbki]]/($G$1+1)</f>
        <v>0.31568431568431571</v>
      </c>
      <c r="H317" s="1">
        <f>(dane_7[[#This Row],[Logarytm naturalny]]-$I$2)/$J$2</f>
        <v>-0.20747353439325042</v>
      </c>
      <c r="M317" s="1">
        <f t="shared" si="4"/>
        <v>0.41782002974365029</v>
      </c>
    </row>
    <row r="318" spans="1:13" x14ac:dyDescent="0.25">
      <c r="A318" s="1">
        <v>399.9</v>
      </c>
      <c r="B318" s="1">
        <v>399.9</v>
      </c>
      <c r="C318" s="1">
        <f>LN(dane_7[[#This Row],[Dane wejściowe posortowane]])</f>
        <v>5.9912145158527723</v>
      </c>
      <c r="D318" s="1">
        <v>317</v>
      </c>
      <c r="G318" s="1">
        <f>dane_7[[#This Row],[Nr próbki]]/($G$1+1)</f>
        <v>0.31668331668331667</v>
      </c>
      <c r="H318" s="1">
        <f>(dane_7[[#This Row],[Logarytm naturalny]]-$I$2)/$J$2</f>
        <v>-0.20747353439325042</v>
      </c>
      <c r="M318" s="1">
        <f t="shared" si="4"/>
        <v>0.41782002974365029</v>
      </c>
    </row>
    <row r="319" spans="1:13" x14ac:dyDescent="0.25">
      <c r="A319" s="1">
        <v>399.9</v>
      </c>
      <c r="B319" s="1">
        <v>399.9</v>
      </c>
      <c r="C319" s="1">
        <f>LN(dane_7[[#This Row],[Dane wejściowe posortowane]])</f>
        <v>5.9912145158527723</v>
      </c>
      <c r="D319" s="1">
        <v>318</v>
      </c>
      <c r="G319" s="1">
        <f>dane_7[[#This Row],[Nr próbki]]/($G$1+1)</f>
        <v>0.31768231768231769</v>
      </c>
      <c r="H319" s="1">
        <f>(dane_7[[#This Row],[Logarytm naturalny]]-$I$2)/$J$2</f>
        <v>-0.20747353439325042</v>
      </c>
      <c r="M319" s="1">
        <f t="shared" si="4"/>
        <v>0.41782002974365029</v>
      </c>
    </row>
    <row r="320" spans="1:13" x14ac:dyDescent="0.25">
      <c r="A320" s="1">
        <v>399.9</v>
      </c>
      <c r="B320" s="1">
        <v>399.9</v>
      </c>
      <c r="C320" s="1">
        <f>LN(dane_7[[#This Row],[Dane wejściowe posortowane]])</f>
        <v>5.9912145158527723</v>
      </c>
      <c r="D320" s="1">
        <v>319</v>
      </c>
      <c r="G320" s="1">
        <f>dane_7[[#This Row],[Nr próbki]]/($G$1+1)</f>
        <v>0.31868131868131866</v>
      </c>
      <c r="H320" s="1">
        <f>(dane_7[[#This Row],[Logarytm naturalny]]-$I$2)/$J$2</f>
        <v>-0.20747353439325042</v>
      </c>
      <c r="M320" s="1">
        <f t="shared" si="4"/>
        <v>0.41782002974365029</v>
      </c>
    </row>
    <row r="321" spans="1:13" x14ac:dyDescent="0.25">
      <c r="A321" s="1">
        <v>399.9</v>
      </c>
      <c r="B321" s="1">
        <v>399.9</v>
      </c>
      <c r="C321" s="1">
        <f>LN(dane_7[[#This Row],[Dane wejściowe posortowane]])</f>
        <v>5.9912145158527723</v>
      </c>
      <c r="D321" s="1">
        <v>320</v>
      </c>
      <c r="G321" s="1">
        <f>dane_7[[#This Row],[Nr próbki]]/($G$1+1)</f>
        <v>0.31968031968031968</v>
      </c>
      <c r="H321" s="1">
        <f>(dane_7[[#This Row],[Logarytm naturalny]]-$I$2)/$J$2</f>
        <v>-0.20747353439325042</v>
      </c>
      <c r="M321" s="1">
        <f t="shared" si="4"/>
        <v>0.41782002974365029</v>
      </c>
    </row>
    <row r="322" spans="1:13" x14ac:dyDescent="0.25">
      <c r="A322" s="1">
        <v>399.9</v>
      </c>
      <c r="B322" s="1">
        <v>399.9</v>
      </c>
      <c r="C322" s="1">
        <f>LN(dane_7[[#This Row],[Dane wejściowe posortowane]])</f>
        <v>5.9912145158527723</v>
      </c>
      <c r="D322" s="1">
        <v>321</v>
      </c>
      <c r="G322" s="1">
        <f>dane_7[[#This Row],[Nr próbki]]/($G$1+1)</f>
        <v>0.3206793206793207</v>
      </c>
      <c r="H322" s="1">
        <f>(dane_7[[#This Row],[Logarytm naturalny]]-$I$2)/$J$2</f>
        <v>-0.20747353439325042</v>
      </c>
      <c r="M322" s="1">
        <f t="shared" si="4"/>
        <v>0.41782002974365029</v>
      </c>
    </row>
    <row r="323" spans="1:13" x14ac:dyDescent="0.25">
      <c r="A323" s="1">
        <v>399.9</v>
      </c>
      <c r="B323" s="1">
        <v>399.9</v>
      </c>
      <c r="C323" s="1">
        <f>LN(dane_7[[#This Row],[Dane wejściowe posortowane]])</f>
        <v>5.9912145158527723</v>
      </c>
      <c r="D323" s="1">
        <v>322</v>
      </c>
      <c r="G323" s="1">
        <f>dane_7[[#This Row],[Nr próbki]]/($G$1+1)</f>
        <v>0.32167832167832167</v>
      </c>
      <c r="H323" s="1">
        <f>(dane_7[[#This Row],[Logarytm naturalny]]-$I$2)/$J$2</f>
        <v>-0.20747353439325042</v>
      </c>
      <c r="M323" s="1">
        <f t="shared" ref="M323:M386" si="5">LOGNORMDIST(B323:B1322,$I$2,$J$2)</f>
        <v>0.41782002974365029</v>
      </c>
    </row>
    <row r="324" spans="1:13" x14ac:dyDescent="0.25">
      <c r="A324" s="1">
        <v>399.9</v>
      </c>
      <c r="B324" s="1">
        <v>399.9</v>
      </c>
      <c r="C324" s="1">
        <f>LN(dane_7[[#This Row],[Dane wejściowe posortowane]])</f>
        <v>5.9912145158527723</v>
      </c>
      <c r="D324" s="1">
        <v>323</v>
      </c>
      <c r="G324" s="1">
        <f>dane_7[[#This Row],[Nr próbki]]/($G$1+1)</f>
        <v>0.32267732267732269</v>
      </c>
      <c r="H324" s="1">
        <f>(dane_7[[#This Row],[Logarytm naturalny]]-$I$2)/$J$2</f>
        <v>-0.20747353439325042</v>
      </c>
      <c r="M324" s="1">
        <f t="shared" si="5"/>
        <v>0.41782002974365029</v>
      </c>
    </row>
    <row r="325" spans="1:13" x14ac:dyDescent="0.25">
      <c r="A325" s="1">
        <v>400</v>
      </c>
      <c r="B325" s="1">
        <v>400</v>
      </c>
      <c r="C325" s="1">
        <f>LN(dane_7[[#This Row],[Dane wejściowe posortowane]])</f>
        <v>5.9914645471079817</v>
      </c>
      <c r="D325" s="1">
        <v>324</v>
      </c>
      <c r="G325" s="1">
        <f>dane_7[[#This Row],[Nr próbki]]/($G$1+1)</f>
        <v>0.32367632367632365</v>
      </c>
      <c r="H325" s="1">
        <f>(dane_7[[#This Row],[Logarytm naturalny]]-$I$2)/$J$2</f>
        <v>-0.17304365751296086</v>
      </c>
      <c r="M325" s="1">
        <f t="shared" si="5"/>
        <v>0.43130855574199567</v>
      </c>
    </row>
    <row r="326" spans="1:13" x14ac:dyDescent="0.25">
      <c r="A326" s="1">
        <v>400</v>
      </c>
      <c r="B326" s="1">
        <v>400</v>
      </c>
      <c r="C326" s="1">
        <f>LN(dane_7[[#This Row],[Dane wejściowe posortowane]])</f>
        <v>5.9914645471079817</v>
      </c>
      <c r="D326" s="1">
        <v>325</v>
      </c>
      <c r="G326" s="1">
        <f>dane_7[[#This Row],[Nr próbki]]/($G$1+1)</f>
        <v>0.32467532467532467</v>
      </c>
      <c r="H326" s="1">
        <f>(dane_7[[#This Row],[Logarytm naturalny]]-$I$2)/$J$2</f>
        <v>-0.17304365751296086</v>
      </c>
      <c r="M326" s="1">
        <f t="shared" si="5"/>
        <v>0.43130855574199567</v>
      </c>
    </row>
    <row r="327" spans="1:13" x14ac:dyDescent="0.25">
      <c r="A327" s="1">
        <v>400</v>
      </c>
      <c r="B327" s="1">
        <v>400</v>
      </c>
      <c r="C327" s="1">
        <f>LN(dane_7[[#This Row],[Dane wejściowe posortowane]])</f>
        <v>5.9914645471079817</v>
      </c>
      <c r="D327" s="1">
        <v>326</v>
      </c>
      <c r="G327" s="1">
        <f>dane_7[[#This Row],[Nr próbki]]/($G$1+1)</f>
        <v>0.32567432567432569</v>
      </c>
      <c r="H327" s="1">
        <f>(dane_7[[#This Row],[Logarytm naturalny]]-$I$2)/$J$2</f>
        <v>-0.17304365751296086</v>
      </c>
      <c r="M327" s="1">
        <f t="shared" si="5"/>
        <v>0.43130855574199567</v>
      </c>
    </row>
    <row r="328" spans="1:13" x14ac:dyDescent="0.25">
      <c r="A328" s="1">
        <v>400</v>
      </c>
      <c r="B328" s="1">
        <v>400</v>
      </c>
      <c r="C328" s="1">
        <f>LN(dane_7[[#This Row],[Dane wejściowe posortowane]])</f>
        <v>5.9914645471079817</v>
      </c>
      <c r="D328" s="1">
        <v>327</v>
      </c>
      <c r="G328" s="1">
        <f>dane_7[[#This Row],[Nr próbki]]/($G$1+1)</f>
        <v>0.32667332667332666</v>
      </c>
      <c r="H328" s="1">
        <f>(dane_7[[#This Row],[Logarytm naturalny]]-$I$2)/$J$2</f>
        <v>-0.17304365751296086</v>
      </c>
      <c r="M328" s="1">
        <f t="shared" si="5"/>
        <v>0.43130855574199567</v>
      </c>
    </row>
    <row r="329" spans="1:13" x14ac:dyDescent="0.25">
      <c r="A329" s="1">
        <v>400</v>
      </c>
      <c r="B329" s="1">
        <v>400</v>
      </c>
      <c r="C329" s="1">
        <f>LN(dane_7[[#This Row],[Dane wejściowe posortowane]])</f>
        <v>5.9914645471079817</v>
      </c>
      <c r="D329" s="1">
        <v>328</v>
      </c>
      <c r="G329" s="1">
        <f>dane_7[[#This Row],[Nr próbki]]/($G$1+1)</f>
        <v>0.32767232767232768</v>
      </c>
      <c r="H329" s="1">
        <f>(dane_7[[#This Row],[Logarytm naturalny]]-$I$2)/$J$2</f>
        <v>-0.17304365751296086</v>
      </c>
      <c r="M329" s="1">
        <f t="shared" si="5"/>
        <v>0.43130855574199567</v>
      </c>
    </row>
    <row r="330" spans="1:13" x14ac:dyDescent="0.25">
      <c r="A330" s="1">
        <v>400</v>
      </c>
      <c r="B330" s="1">
        <v>400</v>
      </c>
      <c r="C330" s="1">
        <f>LN(dane_7[[#This Row],[Dane wejściowe posortowane]])</f>
        <v>5.9914645471079817</v>
      </c>
      <c r="D330" s="1">
        <v>329</v>
      </c>
      <c r="G330" s="1">
        <f>dane_7[[#This Row],[Nr próbki]]/($G$1+1)</f>
        <v>0.32867132867132864</v>
      </c>
      <c r="H330" s="1">
        <f>(dane_7[[#This Row],[Logarytm naturalny]]-$I$2)/$J$2</f>
        <v>-0.17304365751296086</v>
      </c>
      <c r="M330" s="1">
        <f t="shared" si="5"/>
        <v>0.43130855574199567</v>
      </c>
    </row>
    <row r="331" spans="1:13" x14ac:dyDescent="0.25">
      <c r="A331" s="1">
        <v>400</v>
      </c>
      <c r="B331" s="1">
        <v>400</v>
      </c>
      <c r="C331" s="1">
        <f>LN(dane_7[[#This Row],[Dane wejściowe posortowane]])</f>
        <v>5.9914645471079817</v>
      </c>
      <c r="D331" s="1">
        <v>330</v>
      </c>
      <c r="G331" s="1">
        <f>dane_7[[#This Row],[Nr próbki]]/($G$1+1)</f>
        <v>0.32967032967032966</v>
      </c>
      <c r="H331" s="1">
        <f>(dane_7[[#This Row],[Logarytm naturalny]]-$I$2)/$J$2</f>
        <v>-0.17304365751296086</v>
      </c>
      <c r="M331" s="1">
        <f t="shared" si="5"/>
        <v>0.43130855574199567</v>
      </c>
    </row>
    <row r="332" spans="1:13" x14ac:dyDescent="0.25">
      <c r="A332" s="1">
        <v>400.1</v>
      </c>
      <c r="B332" s="1">
        <v>400.1</v>
      </c>
      <c r="C332" s="1">
        <f>LN(dane_7[[#This Row],[Dane wejściowe posortowane]])</f>
        <v>5.9917145158631895</v>
      </c>
      <c r="D332" s="1">
        <v>331</v>
      </c>
      <c r="G332" s="1">
        <f>dane_7[[#This Row],[Nr próbki]]/($G$1+1)</f>
        <v>0.33066933066933069</v>
      </c>
      <c r="H332" s="1">
        <f>(dane_7[[#This Row],[Logarytm naturalny]]-$I$2)/$J$2</f>
        <v>-0.13862238702613575</v>
      </c>
      <c r="M332" s="1">
        <f t="shared" si="5"/>
        <v>0.44487427591035089</v>
      </c>
    </row>
    <row r="333" spans="1:13" x14ac:dyDescent="0.25">
      <c r="A333" s="1">
        <v>400.1</v>
      </c>
      <c r="B333" s="1">
        <v>400.1</v>
      </c>
      <c r="C333" s="1">
        <f>LN(dane_7[[#This Row],[Dane wejściowe posortowane]])</f>
        <v>5.9917145158631895</v>
      </c>
      <c r="D333" s="1">
        <v>332</v>
      </c>
      <c r="G333" s="1">
        <f>dane_7[[#This Row],[Nr próbki]]/($G$1+1)</f>
        <v>0.33166833166833165</v>
      </c>
      <c r="H333" s="1">
        <f>(dane_7[[#This Row],[Logarytm naturalny]]-$I$2)/$J$2</f>
        <v>-0.13862238702613575</v>
      </c>
      <c r="M333" s="1">
        <f t="shared" si="5"/>
        <v>0.44487427591035089</v>
      </c>
    </row>
    <row r="334" spans="1:13" x14ac:dyDescent="0.25">
      <c r="A334" s="1">
        <v>400.1</v>
      </c>
      <c r="B334" s="1">
        <v>400.1</v>
      </c>
      <c r="C334" s="1">
        <f>LN(dane_7[[#This Row],[Dane wejściowe posortowane]])</f>
        <v>5.9917145158631895</v>
      </c>
      <c r="D334" s="1">
        <v>333</v>
      </c>
      <c r="G334" s="1">
        <f>dane_7[[#This Row],[Nr próbki]]/($G$1+1)</f>
        <v>0.33266733266733267</v>
      </c>
      <c r="H334" s="1">
        <f>(dane_7[[#This Row],[Logarytm naturalny]]-$I$2)/$J$2</f>
        <v>-0.13862238702613575</v>
      </c>
      <c r="M334" s="1">
        <f t="shared" si="5"/>
        <v>0.44487427591035089</v>
      </c>
    </row>
    <row r="335" spans="1:13" x14ac:dyDescent="0.25">
      <c r="A335" s="1">
        <v>400.1</v>
      </c>
      <c r="B335" s="1">
        <v>400.1</v>
      </c>
      <c r="C335" s="1">
        <f>LN(dane_7[[#This Row],[Dane wejściowe posortowane]])</f>
        <v>5.9917145158631895</v>
      </c>
      <c r="D335" s="1">
        <v>334</v>
      </c>
      <c r="G335" s="1">
        <f>dane_7[[#This Row],[Nr próbki]]/($G$1+1)</f>
        <v>0.33366633366633369</v>
      </c>
      <c r="H335" s="1">
        <f>(dane_7[[#This Row],[Logarytm naturalny]]-$I$2)/$J$2</f>
        <v>-0.13862238702613575</v>
      </c>
      <c r="M335" s="1">
        <f t="shared" si="5"/>
        <v>0.44487427591035089</v>
      </c>
    </row>
    <row r="336" spans="1:13" x14ac:dyDescent="0.25">
      <c r="A336" s="1">
        <v>400.1</v>
      </c>
      <c r="B336" s="1">
        <v>400.1</v>
      </c>
      <c r="C336" s="1">
        <f>LN(dane_7[[#This Row],[Dane wejściowe posortowane]])</f>
        <v>5.9917145158631895</v>
      </c>
      <c r="D336" s="1">
        <v>335</v>
      </c>
      <c r="G336" s="1">
        <f>dane_7[[#This Row],[Nr próbki]]/($G$1+1)</f>
        <v>0.33466533466533466</v>
      </c>
      <c r="H336" s="1">
        <f>(dane_7[[#This Row],[Logarytm naturalny]]-$I$2)/$J$2</f>
        <v>-0.13862238702613575</v>
      </c>
      <c r="M336" s="1">
        <f t="shared" si="5"/>
        <v>0.44487427591035089</v>
      </c>
    </row>
    <row r="337" spans="1:13" x14ac:dyDescent="0.25">
      <c r="A337" s="1">
        <v>400.2</v>
      </c>
      <c r="B337" s="1">
        <v>400.2</v>
      </c>
      <c r="C337" s="1">
        <f>LN(dane_7[[#This Row],[Dane wejściowe posortowane]])</f>
        <v>5.9919644221496329</v>
      </c>
      <c r="D337" s="1">
        <v>336</v>
      </c>
      <c r="G337" s="1">
        <f>dane_7[[#This Row],[Nr próbki]]/($G$1+1)</f>
        <v>0.33566433566433568</v>
      </c>
      <c r="H337" s="1">
        <f>(dane_7[[#This Row],[Logarytm naturalny]]-$I$2)/$J$2</f>
        <v>-0.10420971863133625</v>
      </c>
      <c r="M337" s="1">
        <f t="shared" si="5"/>
        <v>0.45850146080716525</v>
      </c>
    </row>
    <row r="338" spans="1:13" x14ac:dyDescent="0.25">
      <c r="A338" s="1">
        <v>400.2</v>
      </c>
      <c r="B338" s="1">
        <v>400.2</v>
      </c>
      <c r="C338" s="1">
        <f>LN(dane_7[[#This Row],[Dane wejściowe posortowane]])</f>
        <v>5.9919644221496329</v>
      </c>
      <c r="D338" s="1">
        <v>337</v>
      </c>
      <c r="G338" s="1">
        <f>dane_7[[#This Row],[Nr próbki]]/($G$1+1)</f>
        <v>0.33666333666333664</v>
      </c>
      <c r="H338" s="1">
        <f>(dane_7[[#This Row],[Logarytm naturalny]]-$I$2)/$J$2</f>
        <v>-0.10420971863133625</v>
      </c>
      <c r="M338" s="1">
        <f t="shared" si="5"/>
        <v>0.45850146080716525</v>
      </c>
    </row>
    <row r="339" spans="1:13" x14ac:dyDescent="0.25">
      <c r="A339" s="1">
        <v>400.2</v>
      </c>
      <c r="B339" s="1">
        <v>400.2</v>
      </c>
      <c r="C339" s="1">
        <f>LN(dane_7[[#This Row],[Dane wejściowe posortowane]])</f>
        <v>5.9919644221496329</v>
      </c>
      <c r="D339" s="1">
        <v>338</v>
      </c>
      <c r="G339" s="1">
        <f>dane_7[[#This Row],[Nr próbki]]/($G$1+1)</f>
        <v>0.33766233766233766</v>
      </c>
      <c r="H339" s="1">
        <f>(dane_7[[#This Row],[Logarytm naturalny]]-$I$2)/$J$2</f>
        <v>-0.10420971863133625</v>
      </c>
      <c r="M339" s="1">
        <f t="shared" si="5"/>
        <v>0.45850146080716525</v>
      </c>
    </row>
    <row r="340" spans="1:13" x14ac:dyDescent="0.25">
      <c r="A340" s="1">
        <v>400.2</v>
      </c>
      <c r="B340" s="1">
        <v>400.2</v>
      </c>
      <c r="C340" s="1">
        <f>LN(dane_7[[#This Row],[Dane wejściowe posortowane]])</f>
        <v>5.9919644221496329</v>
      </c>
      <c r="D340" s="1">
        <v>339</v>
      </c>
      <c r="G340" s="1">
        <f>dane_7[[#This Row],[Nr próbki]]/($G$1+1)</f>
        <v>0.33866133866133868</v>
      </c>
      <c r="H340" s="1">
        <f>(dane_7[[#This Row],[Logarytm naturalny]]-$I$2)/$J$2</f>
        <v>-0.10420971863133625</v>
      </c>
      <c r="M340" s="1">
        <f t="shared" si="5"/>
        <v>0.45850146080716525</v>
      </c>
    </row>
    <row r="341" spans="1:13" x14ac:dyDescent="0.25">
      <c r="A341" s="1">
        <v>400.2</v>
      </c>
      <c r="B341" s="1">
        <v>400.2</v>
      </c>
      <c r="C341" s="1">
        <f>LN(dane_7[[#This Row],[Dane wejściowe posortowane]])</f>
        <v>5.9919644221496329</v>
      </c>
      <c r="D341" s="1">
        <v>340</v>
      </c>
      <c r="G341" s="1">
        <f>dane_7[[#This Row],[Nr próbki]]/($G$1+1)</f>
        <v>0.33966033966033965</v>
      </c>
      <c r="H341" s="1">
        <f>(dane_7[[#This Row],[Logarytm naturalny]]-$I$2)/$J$2</f>
        <v>-0.10420971863133625</v>
      </c>
      <c r="M341" s="1">
        <f t="shared" si="5"/>
        <v>0.45850146080716525</v>
      </c>
    </row>
    <row r="342" spans="1:13" x14ac:dyDescent="0.25">
      <c r="A342" s="1">
        <v>400.2</v>
      </c>
      <c r="B342" s="1">
        <v>400.2</v>
      </c>
      <c r="C342" s="1">
        <f>LN(dane_7[[#This Row],[Dane wejściowe posortowane]])</f>
        <v>5.9919644221496329</v>
      </c>
      <c r="D342" s="1">
        <v>341</v>
      </c>
      <c r="G342" s="1">
        <f>dane_7[[#This Row],[Nr próbki]]/($G$1+1)</f>
        <v>0.34065934065934067</v>
      </c>
      <c r="H342" s="1">
        <f>(dane_7[[#This Row],[Logarytm naturalny]]-$I$2)/$J$2</f>
        <v>-0.10420971863133625</v>
      </c>
      <c r="M342" s="1">
        <f t="shared" si="5"/>
        <v>0.45850146080716525</v>
      </c>
    </row>
    <row r="343" spans="1:13" x14ac:dyDescent="0.25">
      <c r="A343" s="1">
        <v>400.2</v>
      </c>
      <c r="B343" s="1">
        <v>400.2</v>
      </c>
      <c r="C343" s="1">
        <f>LN(dane_7[[#This Row],[Dane wejściowe posortowane]])</f>
        <v>5.9919644221496329</v>
      </c>
      <c r="D343" s="1">
        <v>342</v>
      </c>
      <c r="G343" s="1">
        <f>dane_7[[#This Row],[Nr próbki]]/($G$1+1)</f>
        <v>0.34165834165834164</v>
      </c>
      <c r="H343" s="1">
        <f>(dane_7[[#This Row],[Logarytm naturalny]]-$I$2)/$J$2</f>
        <v>-0.10420971863133625</v>
      </c>
      <c r="M343" s="1">
        <f t="shared" si="5"/>
        <v>0.45850146080716525</v>
      </c>
    </row>
    <row r="344" spans="1:13" x14ac:dyDescent="0.25">
      <c r="A344" s="1">
        <v>400.2</v>
      </c>
      <c r="B344" s="1">
        <v>400.2</v>
      </c>
      <c r="C344" s="1">
        <f>LN(dane_7[[#This Row],[Dane wejściowe posortowane]])</f>
        <v>5.9919644221496329</v>
      </c>
      <c r="D344" s="1">
        <v>343</v>
      </c>
      <c r="G344" s="1">
        <f>dane_7[[#This Row],[Nr próbki]]/($G$1+1)</f>
        <v>0.34265734265734266</v>
      </c>
      <c r="H344" s="1">
        <f>(dane_7[[#This Row],[Logarytm naturalny]]-$I$2)/$J$2</f>
        <v>-0.10420971863133625</v>
      </c>
      <c r="M344" s="1">
        <f t="shared" si="5"/>
        <v>0.45850146080716525</v>
      </c>
    </row>
    <row r="345" spans="1:13" x14ac:dyDescent="0.25">
      <c r="A345" s="1">
        <v>400.2</v>
      </c>
      <c r="B345" s="1">
        <v>400.2</v>
      </c>
      <c r="C345" s="1">
        <f>LN(dane_7[[#This Row],[Dane wejściowe posortowane]])</f>
        <v>5.9919644221496329</v>
      </c>
      <c r="D345" s="1">
        <v>344</v>
      </c>
      <c r="G345" s="1">
        <f>dane_7[[#This Row],[Nr próbki]]/($G$1+1)</f>
        <v>0.34365634365634368</v>
      </c>
      <c r="H345" s="1">
        <f>(dane_7[[#This Row],[Logarytm naturalny]]-$I$2)/$J$2</f>
        <v>-0.10420971863133625</v>
      </c>
      <c r="M345" s="1">
        <f t="shared" si="5"/>
        <v>0.45850146080716525</v>
      </c>
    </row>
    <row r="346" spans="1:13" x14ac:dyDescent="0.25">
      <c r="A346" s="1">
        <v>400.2</v>
      </c>
      <c r="B346" s="1">
        <v>400.2</v>
      </c>
      <c r="C346" s="1">
        <f>LN(dane_7[[#This Row],[Dane wejściowe posortowane]])</f>
        <v>5.9919644221496329</v>
      </c>
      <c r="D346" s="1">
        <v>345</v>
      </c>
      <c r="G346" s="1">
        <f>dane_7[[#This Row],[Nr próbki]]/($G$1+1)</f>
        <v>0.34465534465534464</v>
      </c>
      <c r="H346" s="1">
        <f>(dane_7[[#This Row],[Logarytm naturalny]]-$I$2)/$J$2</f>
        <v>-0.10420971863133625</v>
      </c>
      <c r="M346" s="1">
        <f t="shared" si="5"/>
        <v>0.45850146080716525</v>
      </c>
    </row>
    <row r="347" spans="1:13" x14ac:dyDescent="0.25">
      <c r="A347" s="1">
        <v>400.3</v>
      </c>
      <c r="B347" s="1">
        <v>400.3</v>
      </c>
      <c r="C347" s="1">
        <f>LN(dane_7[[#This Row],[Dane wejściowe posortowane]])</f>
        <v>5.9922142659985278</v>
      </c>
      <c r="D347" s="1">
        <v>346</v>
      </c>
      <c r="G347" s="1">
        <f>dane_7[[#This Row],[Nr próbki]]/($G$1+1)</f>
        <v>0.34565434565434566</v>
      </c>
      <c r="H347" s="1">
        <f>(dane_7[[#This Row],[Logarytm naturalny]]-$I$2)/$J$2</f>
        <v>-6.9805648030058801E-2</v>
      </c>
      <c r="M347" s="1">
        <f t="shared" si="5"/>
        <v>0.47217417583444021</v>
      </c>
    </row>
    <row r="348" spans="1:13" x14ac:dyDescent="0.25">
      <c r="A348" s="1">
        <v>400.3</v>
      </c>
      <c r="B348" s="1">
        <v>400.3</v>
      </c>
      <c r="C348" s="1">
        <f>LN(dane_7[[#This Row],[Dane wejściowe posortowane]])</f>
        <v>5.9922142659985278</v>
      </c>
      <c r="D348" s="1">
        <v>347</v>
      </c>
      <c r="G348" s="1">
        <f>dane_7[[#This Row],[Nr próbki]]/($G$1+1)</f>
        <v>0.34665334665334663</v>
      </c>
      <c r="H348" s="1">
        <f>(dane_7[[#This Row],[Logarytm naturalny]]-$I$2)/$J$2</f>
        <v>-6.9805648030058801E-2</v>
      </c>
      <c r="M348" s="1">
        <f t="shared" si="5"/>
        <v>0.47217417583444021</v>
      </c>
    </row>
    <row r="349" spans="1:13" x14ac:dyDescent="0.25">
      <c r="A349" s="1">
        <v>400.3</v>
      </c>
      <c r="B349" s="1">
        <v>400.3</v>
      </c>
      <c r="C349" s="1">
        <f>LN(dane_7[[#This Row],[Dane wejściowe posortowane]])</f>
        <v>5.9922142659985278</v>
      </c>
      <c r="D349" s="1">
        <v>348</v>
      </c>
      <c r="G349" s="1">
        <f>dane_7[[#This Row],[Nr próbki]]/($G$1+1)</f>
        <v>0.34765234765234765</v>
      </c>
      <c r="H349" s="1">
        <f>(dane_7[[#This Row],[Logarytm naturalny]]-$I$2)/$J$2</f>
        <v>-6.9805648030058801E-2</v>
      </c>
      <c r="M349" s="1">
        <f t="shared" si="5"/>
        <v>0.47217417583444021</v>
      </c>
    </row>
    <row r="350" spans="1:13" x14ac:dyDescent="0.25">
      <c r="A350" s="1">
        <v>400.3</v>
      </c>
      <c r="B350" s="1">
        <v>400.3</v>
      </c>
      <c r="C350" s="1">
        <f>LN(dane_7[[#This Row],[Dane wejściowe posortowane]])</f>
        <v>5.9922142659985278</v>
      </c>
      <c r="D350" s="1">
        <v>349</v>
      </c>
      <c r="G350" s="1">
        <f>dane_7[[#This Row],[Nr próbki]]/($G$1+1)</f>
        <v>0.34865134865134867</v>
      </c>
      <c r="H350" s="1">
        <f>(dane_7[[#This Row],[Logarytm naturalny]]-$I$2)/$J$2</f>
        <v>-6.9805648030058801E-2</v>
      </c>
      <c r="M350" s="1">
        <f t="shared" si="5"/>
        <v>0.47217417583444021</v>
      </c>
    </row>
    <row r="351" spans="1:13" x14ac:dyDescent="0.25">
      <c r="A351" s="1">
        <v>400.3</v>
      </c>
      <c r="B351" s="1">
        <v>400.3</v>
      </c>
      <c r="C351" s="1">
        <f>LN(dane_7[[#This Row],[Dane wejściowe posortowane]])</f>
        <v>5.9922142659985278</v>
      </c>
      <c r="D351" s="1">
        <v>350</v>
      </c>
      <c r="G351" s="1">
        <f>dane_7[[#This Row],[Nr próbki]]/($G$1+1)</f>
        <v>0.34965034965034963</v>
      </c>
      <c r="H351" s="1">
        <f>(dane_7[[#This Row],[Logarytm naturalny]]-$I$2)/$J$2</f>
        <v>-6.9805648030058801E-2</v>
      </c>
      <c r="M351" s="1">
        <f t="shared" si="5"/>
        <v>0.47217417583444021</v>
      </c>
    </row>
    <row r="352" spans="1:13" x14ac:dyDescent="0.25">
      <c r="A352" s="1">
        <v>400.3</v>
      </c>
      <c r="B352" s="1">
        <v>400.3</v>
      </c>
      <c r="C352" s="1">
        <f>LN(dane_7[[#This Row],[Dane wejściowe posortowane]])</f>
        <v>5.9922142659985278</v>
      </c>
      <c r="D352" s="1">
        <v>351</v>
      </c>
      <c r="G352" s="1">
        <f>dane_7[[#This Row],[Nr próbki]]/($G$1+1)</f>
        <v>0.35064935064935066</v>
      </c>
      <c r="H352" s="1">
        <f>(dane_7[[#This Row],[Logarytm naturalny]]-$I$2)/$J$2</f>
        <v>-6.9805648030058801E-2</v>
      </c>
      <c r="M352" s="1">
        <f t="shared" si="5"/>
        <v>0.47217417583444021</v>
      </c>
    </row>
    <row r="353" spans="1:13" x14ac:dyDescent="0.25">
      <c r="A353" s="1">
        <v>400.4</v>
      </c>
      <c r="B353" s="1">
        <v>400.4</v>
      </c>
      <c r="C353" s="1">
        <f>LN(dane_7[[#This Row],[Dane wejściowe posortowane]])</f>
        <v>5.9924640474410653</v>
      </c>
      <c r="D353" s="1">
        <v>352</v>
      </c>
      <c r="G353" s="1">
        <f>dane_7[[#This Row],[Nr próbki]]/($G$1+1)</f>
        <v>0.35164835164835168</v>
      </c>
      <c r="H353" s="1">
        <f>(dane_7[[#This Row],[Logarytm naturalny]]-$I$2)/$J$2</f>
        <v>-3.5410170927224371E-2</v>
      </c>
      <c r="M353" s="1">
        <f t="shared" si="5"/>
        <v>0.48587633728606688</v>
      </c>
    </row>
    <row r="354" spans="1:13" x14ac:dyDescent="0.25">
      <c r="A354" s="1">
        <v>400.4</v>
      </c>
      <c r="B354" s="1">
        <v>400.4</v>
      </c>
      <c r="C354" s="1">
        <f>LN(dane_7[[#This Row],[Dane wejściowe posortowane]])</f>
        <v>5.9924640474410653</v>
      </c>
      <c r="D354" s="1">
        <v>353</v>
      </c>
      <c r="G354" s="1">
        <f>dane_7[[#This Row],[Nr próbki]]/($G$1+1)</f>
        <v>0.35264735264735264</v>
      </c>
      <c r="H354" s="1">
        <f>(dane_7[[#This Row],[Logarytm naturalny]]-$I$2)/$J$2</f>
        <v>-3.5410170927224371E-2</v>
      </c>
      <c r="M354" s="1">
        <f t="shared" si="5"/>
        <v>0.48587633728606688</v>
      </c>
    </row>
    <row r="355" spans="1:13" x14ac:dyDescent="0.25">
      <c r="A355" s="1">
        <v>400.4</v>
      </c>
      <c r="B355" s="1">
        <v>400.4</v>
      </c>
      <c r="C355" s="1">
        <f>LN(dane_7[[#This Row],[Dane wejściowe posortowane]])</f>
        <v>5.9924640474410653</v>
      </c>
      <c r="D355" s="1">
        <v>354</v>
      </c>
      <c r="G355" s="1">
        <f>dane_7[[#This Row],[Nr próbki]]/($G$1+1)</f>
        <v>0.35364635364635366</v>
      </c>
      <c r="H355" s="1">
        <f>(dane_7[[#This Row],[Logarytm naturalny]]-$I$2)/$J$2</f>
        <v>-3.5410170927224371E-2</v>
      </c>
      <c r="M355" s="1">
        <f t="shared" si="5"/>
        <v>0.48587633728606688</v>
      </c>
    </row>
    <row r="356" spans="1:13" x14ac:dyDescent="0.25">
      <c r="A356" s="1">
        <v>400.4</v>
      </c>
      <c r="B356" s="1">
        <v>400.4</v>
      </c>
      <c r="C356" s="1">
        <f>LN(dane_7[[#This Row],[Dane wejściowe posortowane]])</f>
        <v>5.9924640474410653</v>
      </c>
      <c r="D356" s="1">
        <v>355</v>
      </c>
      <c r="G356" s="1">
        <f>dane_7[[#This Row],[Nr próbki]]/($G$1+1)</f>
        <v>0.35464535464535463</v>
      </c>
      <c r="H356" s="1">
        <f>(dane_7[[#This Row],[Logarytm naturalny]]-$I$2)/$J$2</f>
        <v>-3.5410170927224371E-2</v>
      </c>
      <c r="M356" s="1">
        <f t="shared" si="5"/>
        <v>0.48587633728606688</v>
      </c>
    </row>
    <row r="357" spans="1:13" x14ac:dyDescent="0.25">
      <c r="A357" s="1">
        <v>400.4</v>
      </c>
      <c r="B357" s="1">
        <v>400.4</v>
      </c>
      <c r="C357" s="1">
        <f>LN(dane_7[[#This Row],[Dane wejściowe posortowane]])</f>
        <v>5.9924640474410653</v>
      </c>
      <c r="D357" s="1">
        <v>356</v>
      </c>
      <c r="G357" s="1">
        <f>dane_7[[#This Row],[Nr próbki]]/($G$1+1)</f>
        <v>0.35564435564435565</v>
      </c>
      <c r="H357" s="1">
        <f>(dane_7[[#This Row],[Logarytm naturalny]]-$I$2)/$J$2</f>
        <v>-3.5410170927224371E-2</v>
      </c>
      <c r="M357" s="1">
        <f t="shared" si="5"/>
        <v>0.48587633728606688</v>
      </c>
    </row>
    <row r="358" spans="1:13" x14ac:dyDescent="0.25">
      <c r="A358" s="1">
        <v>400.4</v>
      </c>
      <c r="B358" s="1">
        <v>400.4</v>
      </c>
      <c r="C358" s="1">
        <f>LN(dane_7[[#This Row],[Dane wejściowe posortowane]])</f>
        <v>5.9924640474410653</v>
      </c>
      <c r="D358" s="1">
        <v>357</v>
      </c>
      <c r="G358" s="1">
        <f>dane_7[[#This Row],[Nr próbki]]/($G$1+1)</f>
        <v>0.35664335664335667</v>
      </c>
      <c r="H358" s="1">
        <f>(dane_7[[#This Row],[Logarytm naturalny]]-$I$2)/$J$2</f>
        <v>-3.5410170927224371E-2</v>
      </c>
      <c r="M358" s="1">
        <f t="shared" si="5"/>
        <v>0.48587633728606688</v>
      </c>
    </row>
    <row r="359" spans="1:13" x14ac:dyDescent="0.25">
      <c r="A359" s="1">
        <v>400.4</v>
      </c>
      <c r="B359" s="1">
        <v>400.4</v>
      </c>
      <c r="C359" s="1">
        <f>LN(dane_7[[#This Row],[Dane wejściowe posortowane]])</f>
        <v>5.9924640474410653</v>
      </c>
      <c r="D359" s="1">
        <v>358</v>
      </c>
      <c r="G359" s="1">
        <f>dane_7[[#This Row],[Nr próbki]]/($G$1+1)</f>
        <v>0.35764235764235763</v>
      </c>
      <c r="H359" s="1">
        <f>(dane_7[[#This Row],[Logarytm naturalny]]-$I$2)/$J$2</f>
        <v>-3.5410170927224371E-2</v>
      </c>
      <c r="M359" s="1">
        <f t="shared" si="5"/>
        <v>0.48587633728606688</v>
      </c>
    </row>
    <row r="360" spans="1:13" x14ac:dyDescent="0.25">
      <c r="A360" s="1">
        <v>400.4</v>
      </c>
      <c r="B360" s="1">
        <v>400.4</v>
      </c>
      <c r="C360" s="1">
        <f>LN(dane_7[[#This Row],[Dane wejściowe posortowane]])</f>
        <v>5.9924640474410653</v>
      </c>
      <c r="D360" s="1">
        <v>359</v>
      </c>
      <c r="G360" s="1">
        <f>dane_7[[#This Row],[Nr próbki]]/($G$1+1)</f>
        <v>0.35864135864135865</v>
      </c>
      <c r="H360" s="1">
        <f>(dane_7[[#This Row],[Logarytm naturalny]]-$I$2)/$J$2</f>
        <v>-3.5410170927224371E-2</v>
      </c>
      <c r="M360" s="1">
        <f t="shared" si="5"/>
        <v>0.48587633728606688</v>
      </c>
    </row>
    <row r="361" spans="1:13" x14ac:dyDescent="0.25">
      <c r="A361" s="1">
        <v>400.4</v>
      </c>
      <c r="B361" s="1">
        <v>400.4</v>
      </c>
      <c r="C361" s="1">
        <f>LN(dane_7[[#This Row],[Dane wejściowe posortowane]])</f>
        <v>5.9924640474410653</v>
      </c>
      <c r="D361" s="1">
        <v>360</v>
      </c>
      <c r="G361" s="1">
        <f>dane_7[[#This Row],[Nr próbki]]/($G$1+1)</f>
        <v>0.35964035964035962</v>
      </c>
      <c r="H361" s="1">
        <f>(dane_7[[#This Row],[Logarytm naturalny]]-$I$2)/$J$2</f>
        <v>-3.5410170927224371E-2</v>
      </c>
      <c r="M361" s="1">
        <f t="shared" si="5"/>
        <v>0.48587633728606688</v>
      </c>
    </row>
    <row r="362" spans="1:13" x14ac:dyDescent="0.25">
      <c r="A362" s="1">
        <v>400.4</v>
      </c>
      <c r="B362" s="1">
        <v>400.4</v>
      </c>
      <c r="C362" s="1">
        <f>LN(dane_7[[#This Row],[Dane wejściowe posortowane]])</f>
        <v>5.9924640474410653</v>
      </c>
      <c r="D362" s="1">
        <v>361</v>
      </c>
      <c r="G362" s="1">
        <f>dane_7[[#This Row],[Nr próbki]]/($G$1+1)</f>
        <v>0.36063936063936064</v>
      </c>
      <c r="H362" s="1">
        <f>(dane_7[[#This Row],[Logarytm naturalny]]-$I$2)/$J$2</f>
        <v>-3.5410170927224371E-2</v>
      </c>
      <c r="M362" s="1">
        <f t="shared" si="5"/>
        <v>0.48587633728606688</v>
      </c>
    </row>
    <row r="363" spans="1:13" x14ac:dyDescent="0.25">
      <c r="A363" s="1">
        <v>400.4</v>
      </c>
      <c r="B363" s="1">
        <v>400.4</v>
      </c>
      <c r="C363" s="1">
        <f>LN(dane_7[[#This Row],[Dane wejściowe posortowane]])</f>
        <v>5.9924640474410653</v>
      </c>
      <c r="D363" s="1">
        <v>362</v>
      </c>
      <c r="G363" s="1">
        <f>dane_7[[#This Row],[Nr próbki]]/($G$1+1)</f>
        <v>0.36163836163836166</v>
      </c>
      <c r="H363" s="1">
        <f>(dane_7[[#This Row],[Logarytm naturalny]]-$I$2)/$J$2</f>
        <v>-3.5410170927224371E-2</v>
      </c>
      <c r="M363" s="1">
        <f t="shared" si="5"/>
        <v>0.48587633728606688</v>
      </c>
    </row>
    <row r="364" spans="1:13" x14ac:dyDescent="0.25">
      <c r="A364" s="1">
        <v>400.4</v>
      </c>
      <c r="B364" s="1">
        <v>400.4</v>
      </c>
      <c r="C364" s="1">
        <f>LN(dane_7[[#This Row],[Dane wejściowe posortowane]])</f>
        <v>5.9924640474410653</v>
      </c>
      <c r="D364" s="1">
        <v>363</v>
      </c>
      <c r="G364" s="1">
        <f>dane_7[[#This Row],[Nr próbki]]/($G$1+1)</f>
        <v>0.36263736263736263</v>
      </c>
      <c r="H364" s="1">
        <f>(dane_7[[#This Row],[Logarytm naturalny]]-$I$2)/$J$2</f>
        <v>-3.5410170927224371E-2</v>
      </c>
      <c r="M364" s="1">
        <f t="shared" si="5"/>
        <v>0.48587633728606688</v>
      </c>
    </row>
    <row r="365" spans="1:13" x14ac:dyDescent="0.25">
      <c r="A365" s="1">
        <v>400.4</v>
      </c>
      <c r="B365" s="1">
        <v>400.4</v>
      </c>
      <c r="C365" s="1">
        <f>LN(dane_7[[#This Row],[Dane wejściowe posortowane]])</f>
        <v>5.9924640474410653</v>
      </c>
      <c r="D365" s="1">
        <v>364</v>
      </c>
      <c r="G365" s="1">
        <f>dane_7[[#This Row],[Nr próbki]]/($G$1+1)</f>
        <v>0.36363636363636365</v>
      </c>
      <c r="H365" s="1">
        <f>(dane_7[[#This Row],[Logarytm naturalny]]-$I$2)/$J$2</f>
        <v>-3.5410170927224371E-2</v>
      </c>
      <c r="M365" s="1">
        <f t="shared" si="5"/>
        <v>0.48587633728606688</v>
      </c>
    </row>
    <row r="366" spans="1:13" x14ac:dyDescent="0.25">
      <c r="A366" s="1">
        <v>400.4</v>
      </c>
      <c r="B366" s="1">
        <v>400.4</v>
      </c>
      <c r="C366" s="1">
        <f>LN(dane_7[[#This Row],[Dane wejściowe posortowane]])</f>
        <v>5.9924640474410653</v>
      </c>
      <c r="D366" s="1">
        <v>365</v>
      </c>
      <c r="G366" s="1">
        <f>dane_7[[#This Row],[Nr próbki]]/($G$1+1)</f>
        <v>0.36463536463536461</v>
      </c>
      <c r="H366" s="1">
        <f>(dane_7[[#This Row],[Logarytm naturalny]]-$I$2)/$J$2</f>
        <v>-3.5410170927224371E-2</v>
      </c>
      <c r="M366" s="1">
        <f t="shared" si="5"/>
        <v>0.48587633728606688</v>
      </c>
    </row>
    <row r="367" spans="1:13" x14ac:dyDescent="0.25">
      <c r="A367" s="1">
        <v>400.4</v>
      </c>
      <c r="B367" s="1">
        <v>400.4</v>
      </c>
      <c r="C367" s="1">
        <f>LN(dane_7[[#This Row],[Dane wejściowe posortowane]])</f>
        <v>5.9924640474410653</v>
      </c>
      <c r="D367" s="1">
        <v>366</v>
      </c>
      <c r="G367" s="1">
        <f>dane_7[[#This Row],[Nr próbki]]/($G$1+1)</f>
        <v>0.36563436563436563</v>
      </c>
      <c r="H367" s="1">
        <f>(dane_7[[#This Row],[Logarytm naturalny]]-$I$2)/$J$2</f>
        <v>-3.5410170927224371E-2</v>
      </c>
      <c r="M367" s="1">
        <f t="shared" si="5"/>
        <v>0.48587633728606688</v>
      </c>
    </row>
    <row r="368" spans="1:13" x14ac:dyDescent="0.25">
      <c r="A368" s="1">
        <v>400.4</v>
      </c>
      <c r="B368" s="1">
        <v>400.4</v>
      </c>
      <c r="C368" s="1">
        <f>LN(dane_7[[#This Row],[Dane wejściowe posortowane]])</f>
        <v>5.9924640474410653</v>
      </c>
      <c r="D368" s="1">
        <v>367</v>
      </c>
      <c r="G368" s="1">
        <f>dane_7[[#This Row],[Nr próbki]]/($G$1+1)</f>
        <v>0.36663336663336665</v>
      </c>
      <c r="H368" s="1">
        <f>(dane_7[[#This Row],[Logarytm naturalny]]-$I$2)/$J$2</f>
        <v>-3.5410170927224371E-2</v>
      </c>
      <c r="M368" s="1">
        <f t="shared" si="5"/>
        <v>0.48587633728606688</v>
      </c>
    </row>
    <row r="369" spans="1:13" x14ac:dyDescent="0.25">
      <c r="A369" s="1">
        <v>400.4</v>
      </c>
      <c r="B369" s="1">
        <v>400.4</v>
      </c>
      <c r="C369" s="1">
        <f>LN(dane_7[[#This Row],[Dane wejściowe posortowane]])</f>
        <v>5.9924640474410653</v>
      </c>
      <c r="D369" s="1">
        <v>368</v>
      </c>
      <c r="G369" s="1">
        <f>dane_7[[#This Row],[Nr próbki]]/($G$1+1)</f>
        <v>0.36763236763236762</v>
      </c>
      <c r="H369" s="1">
        <f>(dane_7[[#This Row],[Logarytm naturalny]]-$I$2)/$J$2</f>
        <v>-3.5410170927224371E-2</v>
      </c>
      <c r="M369" s="1">
        <f t="shared" si="5"/>
        <v>0.48587633728606688</v>
      </c>
    </row>
    <row r="370" spans="1:13" x14ac:dyDescent="0.25">
      <c r="A370" s="1">
        <v>400.4</v>
      </c>
      <c r="B370" s="1">
        <v>400.4</v>
      </c>
      <c r="C370" s="1">
        <f>LN(dane_7[[#This Row],[Dane wejściowe posortowane]])</f>
        <v>5.9924640474410653</v>
      </c>
      <c r="D370" s="1">
        <v>369</v>
      </c>
      <c r="G370" s="1">
        <f>dane_7[[#This Row],[Nr próbki]]/($G$1+1)</f>
        <v>0.36863136863136864</v>
      </c>
      <c r="H370" s="1">
        <f>(dane_7[[#This Row],[Logarytm naturalny]]-$I$2)/$J$2</f>
        <v>-3.5410170927224371E-2</v>
      </c>
      <c r="M370" s="1">
        <f t="shared" si="5"/>
        <v>0.48587633728606688</v>
      </c>
    </row>
    <row r="371" spans="1:13" x14ac:dyDescent="0.25">
      <c r="A371" s="1">
        <v>400.4</v>
      </c>
      <c r="B371" s="1">
        <v>400.4</v>
      </c>
      <c r="C371" s="1">
        <f>LN(dane_7[[#This Row],[Dane wejściowe posortowane]])</f>
        <v>5.9924640474410653</v>
      </c>
      <c r="D371" s="1">
        <v>370</v>
      </c>
      <c r="G371" s="1">
        <f>dane_7[[#This Row],[Nr próbki]]/($G$1+1)</f>
        <v>0.3696303696303696</v>
      </c>
      <c r="H371" s="1">
        <f>(dane_7[[#This Row],[Logarytm naturalny]]-$I$2)/$J$2</f>
        <v>-3.5410170927224371E-2</v>
      </c>
      <c r="M371" s="1">
        <f t="shared" si="5"/>
        <v>0.48587633728606688</v>
      </c>
    </row>
    <row r="372" spans="1:13" x14ac:dyDescent="0.25">
      <c r="A372" s="1">
        <v>400.5</v>
      </c>
      <c r="B372" s="1">
        <v>400.5</v>
      </c>
      <c r="C372" s="1">
        <f>LN(dane_7[[#This Row],[Dane wejściowe posortowane]])</f>
        <v>5.9927137665084143</v>
      </c>
      <c r="D372" s="1">
        <v>371</v>
      </c>
      <c r="G372" s="1">
        <f>dane_7[[#This Row],[Nr próbki]]/($G$1+1)</f>
        <v>0.37062937062937062</v>
      </c>
      <c r="H372" s="1">
        <f>(dane_7[[#This Row],[Logarytm naturalny]]-$I$2)/$J$2</f>
        <v>-1.023283030811527E-3</v>
      </c>
      <c r="M372" s="1">
        <f t="shared" si="5"/>
        <v>0.49959176920543558</v>
      </c>
    </row>
    <row r="373" spans="1:13" x14ac:dyDescent="0.25">
      <c r="A373" s="1">
        <v>400.5</v>
      </c>
      <c r="B373" s="1">
        <v>400.5</v>
      </c>
      <c r="C373" s="1">
        <f>LN(dane_7[[#This Row],[Dane wejściowe posortowane]])</f>
        <v>5.9927137665084143</v>
      </c>
      <c r="D373" s="1">
        <v>372</v>
      </c>
      <c r="G373" s="1">
        <f>dane_7[[#This Row],[Nr próbki]]/($G$1+1)</f>
        <v>0.37162837162837165</v>
      </c>
      <c r="H373" s="1">
        <f>(dane_7[[#This Row],[Logarytm naturalny]]-$I$2)/$J$2</f>
        <v>-1.023283030811527E-3</v>
      </c>
      <c r="M373" s="1">
        <f t="shared" si="5"/>
        <v>0.49959176920543558</v>
      </c>
    </row>
    <row r="374" spans="1:13" x14ac:dyDescent="0.25">
      <c r="A374" s="1">
        <v>400.5</v>
      </c>
      <c r="B374" s="1">
        <v>400.5</v>
      </c>
      <c r="C374" s="1">
        <f>LN(dane_7[[#This Row],[Dane wejściowe posortowane]])</f>
        <v>5.9927137665084143</v>
      </c>
      <c r="D374" s="1">
        <v>373</v>
      </c>
      <c r="G374" s="1">
        <f>dane_7[[#This Row],[Nr próbki]]/($G$1+1)</f>
        <v>0.37262737262737261</v>
      </c>
      <c r="H374" s="1">
        <f>(dane_7[[#This Row],[Logarytm naturalny]]-$I$2)/$J$2</f>
        <v>-1.023283030811527E-3</v>
      </c>
      <c r="M374" s="1">
        <f t="shared" si="5"/>
        <v>0.49959176920543558</v>
      </c>
    </row>
    <row r="375" spans="1:13" x14ac:dyDescent="0.25">
      <c r="A375" s="1">
        <v>400.5</v>
      </c>
      <c r="B375" s="1">
        <v>400.5</v>
      </c>
      <c r="C375" s="1">
        <f>LN(dane_7[[#This Row],[Dane wejściowe posortowane]])</f>
        <v>5.9927137665084143</v>
      </c>
      <c r="D375" s="1">
        <v>374</v>
      </c>
      <c r="G375" s="1">
        <f>dane_7[[#This Row],[Nr próbki]]/($G$1+1)</f>
        <v>0.37362637362637363</v>
      </c>
      <c r="H375" s="1">
        <f>(dane_7[[#This Row],[Logarytm naturalny]]-$I$2)/$J$2</f>
        <v>-1.023283030811527E-3</v>
      </c>
      <c r="M375" s="1">
        <f t="shared" si="5"/>
        <v>0.49959176920543558</v>
      </c>
    </row>
    <row r="376" spans="1:13" x14ac:dyDescent="0.25">
      <c r="A376" s="1">
        <v>400.5</v>
      </c>
      <c r="B376" s="1">
        <v>400.5</v>
      </c>
      <c r="C376" s="1">
        <f>LN(dane_7[[#This Row],[Dane wejściowe posortowane]])</f>
        <v>5.9927137665084143</v>
      </c>
      <c r="D376" s="1">
        <v>375</v>
      </c>
      <c r="G376" s="1">
        <f>dane_7[[#This Row],[Nr próbki]]/($G$1+1)</f>
        <v>0.37462537462537465</v>
      </c>
      <c r="H376" s="1">
        <f>(dane_7[[#This Row],[Logarytm naturalny]]-$I$2)/$J$2</f>
        <v>-1.023283030811527E-3</v>
      </c>
      <c r="M376" s="1">
        <f t="shared" si="5"/>
        <v>0.49959176920543558</v>
      </c>
    </row>
    <row r="377" spans="1:13" x14ac:dyDescent="0.25">
      <c r="A377" s="1">
        <v>400.5</v>
      </c>
      <c r="B377" s="1">
        <v>400.5</v>
      </c>
      <c r="C377" s="1">
        <f>LN(dane_7[[#This Row],[Dane wejściowe posortowane]])</f>
        <v>5.9927137665084143</v>
      </c>
      <c r="D377" s="1">
        <v>376</v>
      </c>
      <c r="G377" s="1">
        <f>dane_7[[#This Row],[Nr próbki]]/($G$1+1)</f>
        <v>0.37562437562437562</v>
      </c>
      <c r="H377" s="1">
        <f>(dane_7[[#This Row],[Logarytm naturalny]]-$I$2)/$J$2</f>
        <v>-1.023283030811527E-3</v>
      </c>
      <c r="M377" s="1">
        <f t="shared" si="5"/>
        <v>0.49959176920543558</v>
      </c>
    </row>
    <row r="378" spans="1:13" x14ac:dyDescent="0.25">
      <c r="A378" s="1">
        <v>400.5</v>
      </c>
      <c r="B378" s="1">
        <v>400.5</v>
      </c>
      <c r="C378" s="1">
        <f>LN(dane_7[[#This Row],[Dane wejściowe posortowane]])</f>
        <v>5.9927137665084143</v>
      </c>
      <c r="D378" s="1">
        <v>377</v>
      </c>
      <c r="G378" s="1">
        <f>dane_7[[#This Row],[Nr próbki]]/($G$1+1)</f>
        <v>0.37662337662337664</v>
      </c>
      <c r="H378" s="1">
        <f>(dane_7[[#This Row],[Logarytm naturalny]]-$I$2)/$J$2</f>
        <v>-1.023283030811527E-3</v>
      </c>
      <c r="M378" s="1">
        <f t="shared" si="5"/>
        <v>0.49959176920543558</v>
      </c>
    </row>
    <row r="379" spans="1:13" x14ac:dyDescent="0.25">
      <c r="A379" s="1">
        <v>400.5</v>
      </c>
      <c r="B379" s="1">
        <v>400.5</v>
      </c>
      <c r="C379" s="1">
        <f>LN(dane_7[[#This Row],[Dane wejściowe posortowane]])</f>
        <v>5.9927137665084143</v>
      </c>
      <c r="D379" s="1">
        <v>378</v>
      </c>
      <c r="G379" s="1">
        <f>dane_7[[#This Row],[Nr próbki]]/($G$1+1)</f>
        <v>0.3776223776223776</v>
      </c>
      <c r="H379" s="1">
        <f>(dane_7[[#This Row],[Logarytm naturalny]]-$I$2)/$J$2</f>
        <v>-1.023283030811527E-3</v>
      </c>
      <c r="M379" s="1">
        <f t="shared" si="5"/>
        <v>0.49959176920543558</v>
      </c>
    </row>
    <row r="380" spans="1:13" x14ac:dyDescent="0.25">
      <c r="A380" s="1">
        <v>400.5</v>
      </c>
      <c r="B380" s="1">
        <v>400.5</v>
      </c>
      <c r="C380" s="1">
        <f>LN(dane_7[[#This Row],[Dane wejściowe posortowane]])</f>
        <v>5.9927137665084143</v>
      </c>
      <c r="D380" s="1">
        <v>379</v>
      </c>
      <c r="G380" s="1">
        <f>dane_7[[#This Row],[Nr próbki]]/($G$1+1)</f>
        <v>0.37862137862137862</v>
      </c>
      <c r="H380" s="1">
        <f>(dane_7[[#This Row],[Logarytm naturalny]]-$I$2)/$J$2</f>
        <v>-1.023283030811527E-3</v>
      </c>
      <c r="M380" s="1">
        <f t="shared" si="5"/>
        <v>0.49959176920543558</v>
      </c>
    </row>
    <row r="381" spans="1:13" x14ac:dyDescent="0.25">
      <c r="A381" s="1">
        <v>400.5</v>
      </c>
      <c r="B381" s="1">
        <v>400.5</v>
      </c>
      <c r="C381" s="1">
        <f>LN(dane_7[[#This Row],[Dane wejściowe posortowane]])</f>
        <v>5.9927137665084143</v>
      </c>
      <c r="D381" s="1">
        <v>380</v>
      </c>
      <c r="G381" s="1">
        <f>dane_7[[#This Row],[Nr próbki]]/($G$1+1)</f>
        <v>0.37962037962037964</v>
      </c>
      <c r="H381" s="1">
        <f>(dane_7[[#This Row],[Logarytm naturalny]]-$I$2)/$J$2</f>
        <v>-1.023283030811527E-3</v>
      </c>
      <c r="M381" s="1">
        <f t="shared" si="5"/>
        <v>0.49959176920543558</v>
      </c>
    </row>
    <row r="382" spans="1:13" x14ac:dyDescent="0.25">
      <c r="A382" s="1">
        <v>400.5</v>
      </c>
      <c r="B382" s="1">
        <v>400.5</v>
      </c>
      <c r="C382" s="1">
        <f>LN(dane_7[[#This Row],[Dane wejściowe posortowane]])</f>
        <v>5.9927137665084143</v>
      </c>
      <c r="D382" s="1">
        <v>381</v>
      </c>
      <c r="G382" s="1">
        <f>dane_7[[#This Row],[Nr próbki]]/($G$1+1)</f>
        <v>0.38061938061938061</v>
      </c>
      <c r="H382" s="1">
        <f>(dane_7[[#This Row],[Logarytm naturalny]]-$I$2)/$J$2</f>
        <v>-1.023283030811527E-3</v>
      </c>
      <c r="M382" s="1">
        <f t="shared" si="5"/>
        <v>0.49959176920543558</v>
      </c>
    </row>
    <row r="383" spans="1:13" x14ac:dyDescent="0.25">
      <c r="A383" s="1">
        <v>400.5</v>
      </c>
      <c r="B383" s="1">
        <v>400.5</v>
      </c>
      <c r="C383" s="1">
        <f>LN(dane_7[[#This Row],[Dane wejściowe posortowane]])</f>
        <v>5.9927137665084143</v>
      </c>
      <c r="D383" s="1">
        <v>382</v>
      </c>
      <c r="G383" s="1">
        <f>dane_7[[#This Row],[Nr próbki]]/($G$1+1)</f>
        <v>0.38161838161838163</v>
      </c>
      <c r="H383" s="1">
        <f>(dane_7[[#This Row],[Logarytm naturalny]]-$I$2)/$J$2</f>
        <v>-1.023283030811527E-3</v>
      </c>
      <c r="M383" s="1">
        <f t="shared" si="5"/>
        <v>0.49959176920543558</v>
      </c>
    </row>
    <row r="384" spans="1:13" x14ac:dyDescent="0.25">
      <c r="A384" s="1">
        <v>400.5</v>
      </c>
      <c r="B384" s="1">
        <v>400.5</v>
      </c>
      <c r="C384" s="1">
        <f>LN(dane_7[[#This Row],[Dane wejściowe posortowane]])</f>
        <v>5.9927137665084143</v>
      </c>
      <c r="D384" s="1">
        <v>383</v>
      </c>
      <c r="G384" s="1">
        <f>dane_7[[#This Row],[Nr próbki]]/($G$1+1)</f>
        <v>0.3826173826173826</v>
      </c>
      <c r="H384" s="1">
        <f>(dane_7[[#This Row],[Logarytm naturalny]]-$I$2)/$J$2</f>
        <v>-1.023283030811527E-3</v>
      </c>
      <c r="M384" s="1">
        <f t="shared" si="5"/>
        <v>0.49959176920543558</v>
      </c>
    </row>
    <row r="385" spans="1:13" x14ac:dyDescent="0.25">
      <c r="A385" s="1">
        <v>400.5</v>
      </c>
      <c r="B385" s="1">
        <v>400.5</v>
      </c>
      <c r="C385" s="1">
        <f>LN(dane_7[[#This Row],[Dane wejściowe posortowane]])</f>
        <v>5.9927137665084143</v>
      </c>
      <c r="D385" s="1">
        <v>384</v>
      </c>
      <c r="G385" s="1">
        <f>dane_7[[#This Row],[Nr próbki]]/($G$1+1)</f>
        <v>0.38361638361638362</v>
      </c>
      <c r="H385" s="1">
        <f>(dane_7[[#This Row],[Logarytm naturalny]]-$I$2)/$J$2</f>
        <v>-1.023283030811527E-3</v>
      </c>
      <c r="M385" s="1">
        <f t="shared" si="5"/>
        <v>0.49959176920543558</v>
      </c>
    </row>
    <row r="386" spans="1:13" x14ac:dyDescent="0.25">
      <c r="A386" s="1">
        <v>400.6</v>
      </c>
      <c r="B386" s="1">
        <v>400.6</v>
      </c>
      <c r="C386" s="1">
        <f>LN(dane_7[[#This Row],[Dane wejściowe posortowane]])</f>
        <v>5.9929634232317177</v>
      </c>
      <c r="D386" s="1">
        <v>385</v>
      </c>
      <c r="G386" s="1">
        <f>dane_7[[#This Row],[Nr próbki]]/($G$1+1)</f>
        <v>0.38461538461538464</v>
      </c>
      <c r="H386" s="1">
        <f>(dane_7[[#This Row],[Logarytm naturalny]]-$I$2)/$J$2</f>
        <v>3.3355019947654337E-2</v>
      </c>
      <c r="M386" s="1">
        <f t="shared" si="5"/>
        <v>0.51330426071616819</v>
      </c>
    </row>
    <row r="387" spans="1:13" x14ac:dyDescent="0.25">
      <c r="A387" s="1">
        <v>400.6</v>
      </c>
      <c r="B387" s="1">
        <v>400.6</v>
      </c>
      <c r="C387" s="1">
        <f>LN(dane_7[[#This Row],[Dane wejściowe posortowane]])</f>
        <v>5.9929634232317177</v>
      </c>
      <c r="D387" s="1">
        <v>386</v>
      </c>
      <c r="G387" s="1">
        <f>dane_7[[#This Row],[Nr próbki]]/($G$1+1)</f>
        <v>0.3856143856143856</v>
      </c>
      <c r="H387" s="1">
        <f>(dane_7[[#This Row],[Logarytm naturalny]]-$I$2)/$J$2</f>
        <v>3.3355019947654337E-2</v>
      </c>
      <c r="M387" s="1">
        <f t="shared" ref="M387:M450" si="6">LOGNORMDIST(B387:B1386,$I$2,$J$2)</f>
        <v>0.51330426071616819</v>
      </c>
    </row>
    <row r="388" spans="1:13" x14ac:dyDescent="0.25">
      <c r="A388" s="1">
        <v>400.6</v>
      </c>
      <c r="B388" s="1">
        <v>400.6</v>
      </c>
      <c r="C388" s="1">
        <f>LN(dane_7[[#This Row],[Dane wejściowe posortowane]])</f>
        <v>5.9929634232317177</v>
      </c>
      <c r="D388" s="1">
        <v>387</v>
      </c>
      <c r="G388" s="1">
        <f>dane_7[[#This Row],[Nr próbki]]/($G$1+1)</f>
        <v>0.38661338661338662</v>
      </c>
      <c r="H388" s="1">
        <f>(dane_7[[#This Row],[Logarytm naturalny]]-$I$2)/$J$2</f>
        <v>3.3355019947654337E-2</v>
      </c>
      <c r="M388" s="1">
        <f t="shared" si="6"/>
        <v>0.51330426071616819</v>
      </c>
    </row>
    <row r="389" spans="1:13" x14ac:dyDescent="0.25">
      <c r="A389" s="1">
        <v>400.6</v>
      </c>
      <c r="B389" s="1">
        <v>400.6</v>
      </c>
      <c r="C389" s="1">
        <f>LN(dane_7[[#This Row],[Dane wejściowe posortowane]])</f>
        <v>5.9929634232317177</v>
      </c>
      <c r="D389" s="1">
        <v>388</v>
      </c>
      <c r="G389" s="1">
        <f>dane_7[[#This Row],[Nr próbki]]/($G$1+1)</f>
        <v>0.38761238761238759</v>
      </c>
      <c r="H389" s="1">
        <f>(dane_7[[#This Row],[Logarytm naturalny]]-$I$2)/$J$2</f>
        <v>3.3355019947654337E-2</v>
      </c>
      <c r="M389" s="1">
        <f t="shared" si="6"/>
        <v>0.51330426071616819</v>
      </c>
    </row>
    <row r="390" spans="1:13" x14ac:dyDescent="0.25">
      <c r="A390" s="1">
        <v>400.6</v>
      </c>
      <c r="B390" s="1">
        <v>400.6</v>
      </c>
      <c r="C390" s="1">
        <f>LN(dane_7[[#This Row],[Dane wejściowe posortowane]])</f>
        <v>5.9929634232317177</v>
      </c>
      <c r="D390" s="1">
        <v>389</v>
      </c>
      <c r="G390" s="1">
        <f>dane_7[[#This Row],[Nr próbki]]/($G$1+1)</f>
        <v>0.38861138861138861</v>
      </c>
      <c r="H390" s="1">
        <f>(dane_7[[#This Row],[Logarytm naturalny]]-$I$2)/$J$2</f>
        <v>3.3355019947654337E-2</v>
      </c>
      <c r="M390" s="1">
        <f t="shared" si="6"/>
        <v>0.51330426071616819</v>
      </c>
    </row>
    <row r="391" spans="1:13" x14ac:dyDescent="0.25">
      <c r="A391" s="1">
        <v>400.6</v>
      </c>
      <c r="B391" s="1">
        <v>400.6</v>
      </c>
      <c r="C391" s="1">
        <f>LN(dane_7[[#This Row],[Dane wejściowe posortowane]])</f>
        <v>5.9929634232317177</v>
      </c>
      <c r="D391" s="1">
        <v>390</v>
      </c>
      <c r="G391" s="1">
        <f>dane_7[[#This Row],[Nr próbki]]/($G$1+1)</f>
        <v>0.38961038961038963</v>
      </c>
      <c r="H391" s="1">
        <f>(dane_7[[#This Row],[Logarytm naturalny]]-$I$2)/$J$2</f>
        <v>3.3355019947654337E-2</v>
      </c>
      <c r="M391" s="1">
        <f t="shared" si="6"/>
        <v>0.51330426071616819</v>
      </c>
    </row>
    <row r="392" spans="1:13" x14ac:dyDescent="0.25">
      <c r="A392" s="1">
        <v>400.6</v>
      </c>
      <c r="B392" s="1">
        <v>400.6</v>
      </c>
      <c r="C392" s="1">
        <f>LN(dane_7[[#This Row],[Dane wejściowe posortowane]])</f>
        <v>5.9929634232317177</v>
      </c>
      <c r="D392" s="1">
        <v>391</v>
      </c>
      <c r="G392" s="1">
        <f>dane_7[[#This Row],[Nr próbki]]/($G$1+1)</f>
        <v>0.39060939060939059</v>
      </c>
      <c r="H392" s="1">
        <f>(dane_7[[#This Row],[Logarytm naturalny]]-$I$2)/$J$2</f>
        <v>3.3355019947654337E-2</v>
      </c>
      <c r="M392" s="1">
        <f t="shared" si="6"/>
        <v>0.51330426071616819</v>
      </c>
    </row>
    <row r="393" spans="1:13" x14ac:dyDescent="0.25">
      <c r="A393" s="1">
        <v>400.6</v>
      </c>
      <c r="B393" s="1">
        <v>400.6</v>
      </c>
      <c r="C393" s="1">
        <f>LN(dane_7[[#This Row],[Dane wejściowe posortowane]])</f>
        <v>5.9929634232317177</v>
      </c>
      <c r="D393" s="1">
        <v>392</v>
      </c>
      <c r="G393" s="1">
        <f>dane_7[[#This Row],[Nr próbki]]/($G$1+1)</f>
        <v>0.39160839160839161</v>
      </c>
      <c r="H393" s="1">
        <f>(dane_7[[#This Row],[Logarytm naturalny]]-$I$2)/$J$2</f>
        <v>3.3355019947654337E-2</v>
      </c>
      <c r="M393" s="1">
        <f t="shared" si="6"/>
        <v>0.51330426071616819</v>
      </c>
    </row>
    <row r="394" spans="1:13" x14ac:dyDescent="0.25">
      <c r="A394" s="1">
        <v>400.6</v>
      </c>
      <c r="B394" s="1">
        <v>400.6</v>
      </c>
      <c r="C394" s="1">
        <f>LN(dane_7[[#This Row],[Dane wejściowe posortowane]])</f>
        <v>5.9929634232317177</v>
      </c>
      <c r="D394" s="1">
        <v>393</v>
      </c>
      <c r="G394" s="1">
        <f>dane_7[[#This Row],[Nr próbki]]/($G$1+1)</f>
        <v>0.39260739260739258</v>
      </c>
      <c r="H394" s="1">
        <f>(dane_7[[#This Row],[Logarytm naturalny]]-$I$2)/$J$2</f>
        <v>3.3355019947654337E-2</v>
      </c>
      <c r="M394" s="1">
        <f t="shared" si="6"/>
        <v>0.51330426071616819</v>
      </c>
    </row>
    <row r="395" spans="1:13" x14ac:dyDescent="0.25">
      <c r="A395" s="1">
        <v>400.6</v>
      </c>
      <c r="B395" s="1">
        <v>400.6</v>
      </c>
      <c r="C395" s="1">
        <f>LN(dane_7[[#This Row],[Dane wejściowe posortowane]])</f>
        <v>5.9929634232317177</v>
      </c>
      <c r="D395" s="1">
        <v>394</v>
      </c>
      <c r="G395" s="1">
        <f>dane_7[[#This Row],[Nr próbki]]/($G$1+1)</f>
        <v>0.3936063936063936</v>
      </c>
      <c r="H395" s="1">
        <f>(dane_7[[#This Row],[Logarytm naturalny]]-$I$2)/$J$2</f>
        <v>3.3355019947654337E-2</v>
      </c>
      <c r="M395" s="1">
        <f t="shared" si="6"/>
        <v>0.51330426071616819</v>
      </c>
    </row>
    <row r="396" spans="1:13" x14ac:dyDescent="0.25">
      <c r="A396" s="1">
        <v>400.6</v>
      </c>
      <c r="B396" s="1">
        <v>400.6</v>
      </c>
      <c r="C396" s="1">
        <f>LN(dane_7[[#This Row],[Dane wejściowe posortowane]])</f>
        <v>5.9929634232317177</v>
      </c>
      <c r="D396" s="1">
        <v>395</v>
      </c>
      <c r="G396" s="1">
        <f>dane_7[[#This Row],[Nr próbki]]/($G$1+1)</f>
        <v>0.39460539460539462</v>
      </c>
      <c r="H396" s="1">
        <f>(dane_7[[#This Row],[Logarytm naturalny]]-$I$2)/$J$2</f>
        <v>3.3355019947654337E-2</v>
      </c>
      <c r="M396" s="1">
        <f t="shared" si="6"/>
        <v>0.51330426071616819</v>
      </c>
    </row>
    <row r="397" spans="1:13" x14ac:dyDescent="0.25">
      <c r="A397" s="1">
        <v>400.6</v>
      </c>
      <c r="B397" s="1">
        <v>400.6</v>
      </c>
      <c r="C397" s="1">
        <f>LN(dane_7[[#This Row],[Dane wejściowe posortowane]])</f>
        <v>5.9929634232317177</v>
      </c>
      <c r="D397" s="1">
        <v>396</v>
      </c>
      <c r="G397" s="1">
        <f>dane_7[[#This Row],[Nr próbki]]/($G$1+1)</f>
        <v>0.39560439560439559</v>
      </c>
      <c r="H397" s="1">
        <f>(dane_7[[#This Row],[Logarytm naturalny]]-$I$2)/$J$2</f>
        <v>3.3355019947654337E-2</v>
      </c>
      <c r="M397" s="1">
        <f t="shared" si="6"/>
        <v>0.51330426071616819</v>
      </c>
    </row>
    <row r="398" spans="1:13" x14ac:dyDescent="0.25">
      <c r="A398" s="1">
        <v>400.6</v>
      </c>
      <c r="B398" s="1">
        <v>400.6</v>
      </c>
      <c r="C398" s="1">
        <f>LN(dane_7[[#This Row],[Dane wejściowe posortowane]])</f>
        <v>5.9929634232317177</v>
      </c>
      <c r="D398" s="1">
        <v>397</v>
      </c>
      <c r="G398" s="1">
        <f>dane_7[[#This Row],[Nr próbki]]/($G$1+1)</f>
        <v>0.39660339660339661</v>
      </c>
      <c r="H398" s="1">
        <f>(dane_7[[#This Row],[Logarytm naturalny]]-$I$2)/$J$2</f>
        <v>3.3355019947654337E-2</v>
      </c>
      <c r="M398" s="1">
        <f t="shared" si="6"/>
        <v>0.51330426071616819</v>
      </c>
    </row>
    <row r="399" spans="1:13" x14ac:dyDescent="0.25">
      <c r="A399" s="1">
        <v>400.6</v>
      </c>
      <c r="B399" s="1">
        <v>400.6</v>
      </c>
      <c r="C399" s="1">
        <f>LN(dane_7[[#This Row],[Dane wejściowe posortowane]])</f>
        <v>5.9929634232317177</v>
      </c>
      <c r="D399" s="1">
        <v>398</v>
      </c>
      <c r="G399" s="1">
        <f>dane_7[[#This Row],[Nr próbki]]/($G$1+1)</f>
        <v>0.39760239760239763</v>
      </c>
      <c r="H399" s="1">
        <f>(dane_7[[#This Row],[Logarytm naturalny]]-$I$2)/$J$2</f>
        <v>3.3355019947654337E-2</v>
      </c>
      <c r="M399" s="1">
        <f t="shared" si="6"/>
        <v>0.51330426071616819</v>
      </c>
    </row>
    <row r="400" spans="1:13" x14ac:dyDescent="0.25">
      <c r="A400" s="1">
        <v>400.6</v>
      </c>
      <c r="B400" s="1">
        <v>400.6</v>
      </c>
      <c r="C400" s="1">
        <f>LN(dane_7[[#This Row],[Dane wejściowe posortowane]])</f>
        <v>5.9929634232317177</v>
      </c>
      <c r="D400" s="1">
        <v>399</v>
      </c>
      <c r="G400" s="1">
        <f>dane_7[[#This Row],[Nr próbki]]/($G$1+1)</f>
        <v>0.39860139860139859</v>
      </c>
      <c r="H400" s="1">
        <f>(dane_7[[#This Row],[Logarytm naturalny]]-$I$2)/$J$2</f>
        <v>3.3355019947654337E-2</v>
      </c>
      <c r="M400" s="1">
        <f t="shared" si="6"/>
        <v>0.51330426071616819</v>
      </c>
    </row>
    <row r="401" spans="1:13" x14ac:dyDescent="0.25">
      <c r="A401" s="1">
        <v>400.6</v>
      </c>
      <c r="B401" s="1">
        <v>400.6</v>
      </c>
      <c r="C401" s="1">
        <f>LN(dane_7[[#This Row],[Dane wejściowe posortowane]])</f>
        <v>5.9929634232317177</v>
      </c>
      <c r="D401" s="1">
        <v>400</v>
      </c>
      <c r="G401" s="1">
        <f>dane_7[[#This Row],[Nr próbki]]/($G$1+1)</f>
        <v>0.39960039960039961</v>
      </c>
      <c r="H401" s="1">
        <f>(dane_7[[#This Row],[Logarytm naturalny]]-$I$2)/$J$2</f>
        <v>3.3355019947654337E-2</v>
      </c>
      <c r="M401" s="1">
        <f t="shared" si="6"/>
        <v>0.51330426071616819</v>
      </c>
    </row>
    <row r="402" spans="1:13" x14ac:dyDescent="0.25">
      <c r="A402" s="1">
        <v>400.6</v>
      </c>
      <c r="B402" s="1">
        <v>400.6</v>
      </c>
      <c r="C402" s="1">
        <f>LN(dane_7[[#This Row],[Dane wejściowe posortowane]])</f>
        <v>5.9929634232317177</v>
      </c>
      <c r="D402" s="1">
        <v>401</v>
      </c>
      <c r="G402" s="1">
        <f>dane_7[[#This Row],[Nr próbki]]/($G$1+1)</f>
        <v>0.40059940059940058</v>
      </c>
      <c r="H402" s="1">
        <f>(dane_7[[#This Row],[Logarytm naturalny]]-$I$2)/$J$2</f>
        <v>3.3355019947654337E-2</v>
      </c>
      <c r="M402" s="1">
        <f t="shared" si="6"/>
        <v>0.51330426071616819</v>
      </c>
    </row>
    <row r="403" spans="1:13" x14ac:dyDescent="0.25">
      <c r="A403" s="1">
        <v>400.7</v>
      </c>
      <c r="B403" s="1">
        <v>400.7</v>
      </c>
      <c r="C403" s="1">
        <f>LN(dane_7[[#This Row],[Dane wejściowe posortowane]])</f>
        <v>5.9932130176420992</v>
      </c>
      <c r="D403" s="1">
        <v>402</v>
      </c>
      <c r="G403" s="1">
        <f>dane_7[[#This Row],[Nr próbki]]/($G$1+1)</f>
        <v>0.4015984015984016</v>
      </c>
      <c r="H403" s="1">
        <f>(dane_7[[#This Row],[Logarytm naturalny]]-$I$2)/$J$2</f>
        <v>6.7724742293957141E-2</v>
      </c>
      <c r="M403" s="1">
        <f t="shared" si="6"/>
        <v>0.52699762348805557</v>
      </c>
    </row>
    <row r="404" spans="1:13" x14ac:dyDescent="0.25">
      <c r="A404" s="1">
        <v>400.7</v>
      </c>
      <c r="B404" s="1">
        <v>400.7</v>
      </c>
      <c r="C404" s="1">
        <f>LN(dane_7[[#This Row],[Dane wejściowe posortowane]])</f>
        <v>5.9932130176420992</v>
      </c>
      <c r="D404" s="1">
        <v>403</v>
      </c>
      <c r="G404" s="1">
        <f>dane_7[[#This Row],[Nr próbki]]/($G$1+1)</f>
        <v>0.40259740259740262</v>
      </c>
      <c r="H404" s="1">
        <f>(dane_7[[#This Row],[Logarytm naturalny]]-$I$2)/$J$2</f>
        <v>6.7724742293957141E-2</v>
      </c>
      <c r="M404" s="1">
        <f t="shared" si="6"/>
        <v>0.52699762348805557</v>
      </c>
    </row>
    <row r="405" spans="1:13" x14ac:dyDescent="0.25">
      <c r="A405" s="1">
        <v>400.7</v>
      </c>
      <c r="B405" s="1">
        <v>400.7</v>
      </c>
      <c r="C405" s="1">
        <f>LN(dane_7[[#This Row],[Dane wejściowe posortowane]])</f>
        <v>5.9932130176420992</v>
      </c>
      <c r="D405" s="1">
        <v>404</v>
      </c>
      <c r="G405" s="1">
        <f>dane_7[[#This Row],[Nr próbki]]/($G$1+1)</f>
        <v>0.40359640359640359</v>
      </c>
      <c r="H405" s="1">
        <f>(dane_7[[#This Row],[Logarytm naturalny]]-$I$2)/$J$2</f>
        <v>6.7724742293957141E-2</v>
      </c>
      <c r="M405" s="1">
        <f t="shared" si="6"/>
        <v>0.52699762348805557</v>
      </c>
    </row>
    <row r="406" spans="1:13" x14ac:dyDescent="0.25">
      <c r="A406" s="1">
        <v>400.7</v>
      </c>
      <c r="B406" s="1">
        <v>400.7</v>
      </c>
      <c r="C406" s="1">
        <f>LN(dane_7[[#This Row],[Dane wejściowe posortowane]])</f>
        <v>5.9932130176420992</v>
      </c>
      <c r="D406" s="1">
        <v>405</v>
      </c>
      <c r="G406" s="1">
        <f>dane_7[[#This Row],[Nr próbki]]/($G$1+1)</f>
        <v>0.40459540459540461</v>
      </c>
      <c r="H406" s="1">
        <f>(dane_7[[#This Row],[Logarytm naturalny]]-$I$2)/$J$2</f>
        <v>6.7724742293957141E-2</v>
      </c>
      <c r="M406" s="1">
        <f t="shared" si="6"/>
        <v>0.52699762348805557</v>
      </c>
    </row>
    <row r="407" spans="1:13" x14ac:dyDescent="0.25">
      <c r="A407" s="1">
        <v>400.7</v>
      </c>
      <c r="B407" s="1">
        <v>400.7</v>
      </c>
      <c r="C407" s="1">
        <f>LN(dane_7[[#This Row],[Dane wejściowe posortowane]])</f>
        <v>5.9932130176420992</v>
      </c>
      <c r="D407" s="1">
        <v>406</v>
      </c>
      <c r="G407" s="1">
        <f>dane_7[[#This Row],[Nr próbki]]/($G$1+1)</f>
        <v>0.40559440559440557</v>
      </c>
      <c r="H407" s="1">
        <f>(dane_7[[#This Row],[Logarytm naturalny]]-$I$2)/$J$2</f>
        <v>6.7724742293957141E-2</v>
      </c>
      <c r="M407" s="1">
        <f t="shared" si="6"/>
        <v>0.52699762348805557</v>
      </c>
    </row>
    <row r="408" spans="1:13" x14ac:dyDescent="0.25">
      <c r="A408" s="1">
        <v>400.7</v>
      </c>
      <c r="B408" s="1">
        <v>400.7</v>
      </c>
      <c r="C408" s="1">
        <f>LN(dane_7[[#This Row],[Dane wejściowe posortowane]])</f>
        <v>5.9932130176420992</v>
      </c>
      <c r="D408" s="1">
        <v>407</v>
      </c>
      <c r="G408" s="1">
        <f>dane_7[[#This Row],[Nr próbki]]/($G$1+1)</f>
        <v>0.40659340659340659</v>
      </c>
      <c r="H408" s="1">
        <f>(dane_7[[#This Row],[Logarytm naturalny]]-$I$2)/$J$2</f>
        <v>6.7724742293957141E-2</v>
      </c>
      <c r="M408" s="1">
        <f t="shared" si="6"/>
        <v>0.52699762348805557</v>
      </c>
    </row>
    <row r="409" spans="1:13" x14ac:dyDescent="0.25">
      <c r="A409" s="1">
        <v>400.7</v>
      </c>
      <c r="B409" s="1">
        <v>400.7</v>
      </c>
      <c r="C409" s="1">
        <f>LN(dane_7[[#This Row],[Dane wejściowe posortowane]])</f>
        <v>5.9932130176420992</v>
      </c>
      <c r="D409" s="1">
        <v>408</v>
      </c>
      <c r="G409" s="1">
        <f>dane_7[[#This Row],[Nr próbki]]/($G$1+1)</f>
        <v>0.40759240759240761</v>
      </c>
      <c r="H409" s="1">
        <f>(dane_7[[#This Row],[Logarytm naturalny]]-$I$2)/$J$2</f>
        <v>6.7724742293957141E-2</v>
      </c>
      <c r="M409" s="1">
        <f t="shared" si="6"/>
        <v>0.52699762348805557</v>
      </c>
    </row>
    <row r="410" spans="1:13" x14ac:dyDescent="0.25">
      <c r="A410" s="1">
        <v>400.7</v>
      </c>
      <c r="B410" s="1">
        <v>400.7</v>
      </c>
      <c r="C410" s="1">
        <f>LN(dane_7[[#This Row],[Dane wejściowe posortowane]])</f>
        <v>5.9932130176420992</v>
      </c>
      <c r="D410" s="1">
        <v>409</v>
      </c>
      <c r="G410" s="1">
        <f>dane_7[[#This Row],[Nr próbki]]/($G$1+1)</f>
        <v>0.40859140859140858</v>
      </c>
      <c r="H410" s="1">
        <f>(dane_7[[#This Row],[Logarytm naturalny]]-$I$2)/$J$2</f>
        <v>6.7724742293957141E-2</v>
      </c>
      <c r="M410" s="1">
        <f t="shared" si="6"/>
        <v>0.52699762348805557</v>
      </c>
    </row>
    <row r="411" spans="1:13" x14ac:dyDescent="0.25">
      <c r="A411" s="1">
        <v>400.7</v>
      </c>
      <c r="B411" s="1">
        <v>400.7</v>
      </c>
      <c r="C411" s="1">
        <f>LN(dane_7[[#This Row],[Dane wejściowe posortowane]])</f>
        <v>5.9932130176420992</v>
      </c>
      <c r="D411" s="1">
        <v>410</v>
      </c>
      <c r="G411" s="1">
        <f>dane_7[[#This Row],[Nr próbki]]/($G$1+1)</f>
        <v>0.4095904095904096</v>
      </c>
      <c r="H411" s="1">
        <f>(dane_7[[#This Row],[Logarytm naturalny]]-$I$2)/$J$2</f>
        <v>6.7724742293957141E-2</v>
      </c>
      <c r="M411" s="1">
        <f t="shared" si="6"/>
        <v>0.52699762348805557</v>
      </c>
    </row>
    <row r="412" spans="1:13" x14ac:dyDescent="0.25">
      <c r="A412" s="1">
        <v>400.7</v>
      </c>
      <c r="B412" s="1">
        <v>400.7</v>
      </c>
      <c r="C412" s="1">
        <f>LN(dane_7[[#This Row],[Dane wejściowe posortowane]])</f>
        <v>5.9932130176420992</v>
      </c>
      <c r="D412" s="1">
        <v>411</v>
      </c>
      <c r="G412" s="1">
        <f>dane_7[[#This Row],[Nr próbki]]/($G$1+1)</f>
        <v>0.41058941058941056</v>
      </c>
      <c r="H412" s="1">
        <f>(dane_7[[#This Row],[Logarytm naturalny]]-$I$2)/$J$2</f>
        <v>6.7724742293957141E-2</v>
      </c>
      <c r="M412" s="1">
        <f t="shared" si="6"/>
        <v>0.52699762348805557</v>
      </c>
    </row>
    <row r="413" spans="1:13" x14ac:dyDescent="0.25">
      <c r="A413" s="1">
        <v>400.7</v>
      </c>
      <c r="B413" s="1">
        <v>400.7</v>
      </c>
      <c r="C413" s="1">
        <f>LN(dane_7[[#This Row],[Dane wejściowe posortowane]])</f>
        <v>5.9932130176420992</v>
      </c>
      <c r="D413" s="1">
        <v>412</v>
      </c>
      <c r="G413" s="1">
        <f>dane_7[[#This Row],[Nr próbki]]/($G$1+1)</f>
        <v>0.41158841158841158</v>
      </c>
      <c r="H413" s="1">
        <f>(dane_7[[#This Row],[Logarytm naturalny]]-$I$2)/$J$2</f>
        <v>6.7724742293957141E-2</v>
      </c>
      <c r="M413" s="1">
        <f t="shared" si="6"/>
        <v>0.52699762348805557</v>
      </c>
    </row>
    <row r="414" spans="1:13" x14ac:dyDescent="0.25">
      <c r="A414" s="1">
        <v>400.7</v>
      </c>
      <c r="B414" s="1">
        <v>400.7</v>
      </c>
      <c r="C414" s="1">
        <f>LN(dane_7[[#This Row],[Dane wejściowe posortowane]])</f>
        <v>5.9932130176420992</v>
      </c>
      <c r="D414" s="1">
        <v>413</v>
      </c>
      <c r="G414" s="1">
        <f>dane_7[[#This Row],[Nr próbki]]/($G$1+1)</f>
        <v>0.41258741258741261</v>
      </c>
      <c r="H414" s="1">
        <f>(dane_7[[#This Row],[Logarytm naturalny]]-$I$2)/$J$2</f>
        <v>6.7724742293957141E-2</v>
      </c>
      <c r="M414" s="1">
        <f t="shared" si="6"/>
        <v>0.52699762348805557</v>
      </c>
    </row>
    <row r="415" spans="1:13" x14ac:dyDescent="0.25">
      <c r="A415" s="1">
        <v>400.7</v>
      </c>
      <c r="B415" s="1">
        <v>400.7</v>
      </c>
      <c r="C415" s="1">
        <f>LN(dane_7[[#This Row],[Dane wejściowe posortowane]])</f>
        <v>5.9932130176420992</v>
      </c>
      <c r="D415" s="1">
        <v>414</v>
      </c>
      <c r="G415" s="1">
        <f>dane_7[[#This Row],[Nr próbki]]/($G$1+1)</f>
        <v>0.41358641358641357</v>
      </c>
      <c r="H415" s="1">
        <f>(dane_7[[#This Row],[Logarytm naturalny]]-$I$2)/$J$2</f>
        <v>6.7724742293957141E-2</v>
      </c>
      <c r="M415" s="1">
        <f t="shared" si="6"/>
        <v>0.52699762348805557</v>
      </c>
    </row>
    <row r="416" spans="1:13" x14ac:dyDescent="0.25">
      <c r="A416" s="1">
        <v>400.7</v>
      </c>
      <c r="B416" s="1">
        <v>400.7</v>
      </c>
      <c r="C416" s="1">
        <f>LN(dane_7[[#This Row],[Dane wejściowe posortowane]])</f>
        <v>5.9932130176420992</v>
      </c>
      <c r="D416" s="1">
        <v>415</v>
      </c>
      <c r="G416" s="1">
        <f>dane_7[[#This Row],[Nr próbki]]/($G$1+1)</f>
        <v>0.41458541458541459</v>
      </c>
      <c r="H416" s="1">
        <f>(dane_7[[#This Row],[Logarytm naturalny]]-$I$2)/$J$2</f>
        <v>6.7724742293957141E-2</v>
      </c>
      <c r="M416" s="1">
        <f t="shared" si="6"/>
        <v>0.52699762348805557</v>
      </c>
    </row>
    <row r="417" spans="1:13" x14ac:dyDescent="0.25">
      <c r="A417" s="1">
        <v>400.7</v>
      </c>
      <c r="B417" s="1">
        <v>400.7</v>
      </c>
      <c r="C417" s="1">
        <f>LN(dane_7[[#This Row],[Dane wejściowe posortowane]])</f>
        <v>5.9932130176420992</v>
      </c>
      <c r="D417" s="1">
        <v>416</v>
      </c>
      <c r="G417" s="1">
        <f>dane_7[[#This Row],[Nr próbki]]/($G$1+1)</f>
        <v>0.41558441558441561</v>
      </c>
      <c r="H417" s="1">
        <f>(dane_7[[#This Row],[Logarytm naturalny]]-$I$2)/$J$2</f>
        <v>6.7724742293957141E-2</v>
      </c>
      <c r="M417" s="1">
        <f t="shared" si="6"/>
        <v>0.52699762348805557</v>
      </c>
    </row>
    <row r="418" spans="1:13" x14ac:dyDescent="0.25">
      <c r="A418" s="1">
        <v>400.8</v>
      </c>
      <c r="B418" s="1">
        <v>400.8</v>
      </c>
      <c r="C418" s="1">
        <f>LN(dane_7[[#This Row],[Dane wejściowe posortowane]])</f>
        <v>5.9934625497706548</v>
      </c>
      <c r="D418" s="1">
        <v>417</v>
      </c>
      <c r="G418" s="1">
        <f>dane_7[[#This Row],[Nr próbki]]/($G$1+1)</f>
        <v>0.41658341658341658</v>
      </c>
      <c r="H418" s="1">
        <f>(dane_7[[#This Row],[Logarytm naturalny]]-$I$2)/$J$2</f>
        <v>0.10208588829008935</v>
      </c>
      <c r="M418" s="1">
        <f t="shared" si="6"/>
        <v>0.54065574899756674</v>
      </c>
    </row>
    <row r="419" spans="1:13" x14ac:dyDescent="0.25">
      <c r="A419" s="1">
        <v>400.8</v>
      </c>
      <c r="B419" s="1">
        <v>400.8</v>
      </c>
      <c r="C419" s="1">
        <f>LN(dane_7[[#This Row],[Dane wejściowe posortowane]])</f>
        <v>5.9934625497706548</v>
      </c>
      <c r="D419" s="1">
        <v>418</v>
      </c>
      <c r="G419" s="1">
        <f>dane_7[[#This Row],[Nr próbki]]/($G$1+1)</f>
        <v>0.4175824175824176</v>
      </c>
      <c r="H419" s="1">
        <f>(dane_7[[#This Row],[Logarytm naturalny]]-$I$2)/$J$2</f>
        <v>0.10208588829008935</v>
      </c>
      <c r="M419" s="1">
        <f t="shared" si="6"/>
        <v>0.54065574899756674</v>
      </c>
    </row>
    <row r="420" spans="1:13" x14ac:dyDescent="0.25">
      <c r="A420" s="1">
        <v>400.8</v>
      </c>
      <c r="B420" s="1">
        <v>400.8</v>
      </c>
      <c r="C420" s="1">
        <f>LN(dane_7[[#This Row],[Dane wejściowe posortowane]])</f>
        <v>5.9934625497706548</v>
      </c>
      <c r="D420" s="1">
        <v>419</v>
      </c>
      <c r="G420" s="1">
        <f>dane_7[[#This Row],[Nr próbki]]/($G$1+1)</f>
        <v>0.41858141858141856</v>
      </c>
      <c r="H420" s="1">
        <f>(dane_7[[#This Row],[Logarytm naturalny]]-$I$2)/$J$2</f>
        <v>0.10208588829008935</v>
      </c>
      <c r="M420" s="1">
        <f t="shared" si="6"/>
        <v>0.54065574899756674</v>
      </c>
    </row>
    <row r="421" spans="1:13" x14ac:dyDescent="0.25">
      <c r="A421" s="1">
        <v>400.8</v>
      </c>
      <c r="B421" s="1">
        <v>400.8</v>
      </c>
      <c r="C421" s="1">
        <f>LN(dane_7[[#This Row],[Dane wejściowe posortowane]])</f>
        <v>5.9934625497706548</v>
      </c>
      <c r="D421" s="1">
        <v>420</v>
      </c>
      <c r="G421" s="1">
        <f>dane_7[[#This Row],[Nr próbki]]/($G$1+1)</f>
        <v>0.41958041958041958</v>
      </c>
      <c r="H421" s="1">
        <f>(dane_7[[#This Row],[Logarytm naturalny]]-$I$2)/$J$2</f>
        <v>0.10208588829008935</v>
      </c>
      <c r="M421" s="1">
        <f t="shared" si="6"/>
        <v>0.54065574899756674</v>
      </c>
    </row>
    <row r="422" spans="1:13" x14ac:dyDescent="0.25">
      <c r="A422" s="1">
        <v>400.8</v>
      </c>
      <c r="B422" s="1">
        <v>400.8</v>
      </c>
      <c r="C422" s="1">
        <f>LN(dane_7[[#This Row],[Dane wejściowe posortowane]])</f>
        <v>5.9934625497706548</v>
      </c>
      <c r="D422" s="1">
        <v>421</v>
      </c>
      <c r="G422" s="1">
        <f>dane_7[[#This Row],[Nr próbki]]/($G$1+1)</f>
        <v>0.4205794205794206</v>
      </c>
      <c r="H422" s="1">
        <f>(dane_7[[#This Row],[Logarytm naturalny]]-$I$2)/$J$2</f>
        <v>0.10208588829008935</v>
      </c>
      <c r="M422" s="1">
        <f t="shared" si="6"/>
        <v>0.54065574899756674</v>
      </c>
    </row>
    <row r="423" spans="1:13" x14ac:dyDescent="0.25">
      <c r="A423" s="1">
        <v>400.8</v>
      </c>
      <c r="B423" s="1">
        <v>400.8</v>
      </c>
      <c r="C423" s="1">
        <f>LN(dane_7[[#This Row],[Dane wejściowe posortowane]])</f>
        <v>5.9934625497706548</v>
      </c>
      <c r="D423" s="1">
        <v>422</v>
      </c>
      <c r="G423" s="1">
        <f>dane_7[[#This Row],[Nr próbki]]/($G$1+1)</f>
        <v>0.42157842157842157</v>
      </c>
      <c r="H423" s="1">
        <f>(dane_7[[#This Row],[Logarytm naturalny]]-$I$2)/$J$2</f>
        <v>0.10208588829008935</v>
      </c>
      <c r="M423" s="1">
        <f t="shared" si="6"/>
        <v>0.54065574899756674</v>
      </c>
    </row>
    <row r="424" spans="1:13" x14ac:dyDescent="0.25">
      <c r="A424" s="1">
        <v>400.8</v>
      </c>
      <c r="B424" s="1">
        <v>400.8</v>
      </c>
      <c r="C424" s="1">
        <f>LN(dane_7[[#This Row],[Dane wejściowe posortowane]])</f>
        <v>5.9934625497706548</v>
      </c>
      <c r="D424" s="1">
        <v>423</v>
      </c>
      <c r="G424" s="1">
        <f>dane_7[[#This Row],[Nr próbki]]/($G$1+1)</f>
        <v>0.42257742257742259</v>
      </c>
      <c r="H424" s="1">
        <f>(dane_7[[#This Row],[Logarytm naturalny]]-$I$2)/$J$2</f>
        <v>0.10208588829008935</v>
      </c>
      <c r="M424" s="1">
        <f t="shared" si="6"/>
        <v>0.54065574899756674</v>
      </c>
    </row>
    <row r="425" spans="1:13" x14ac:dyDescent="0.25">
      <c r="A425" s="1">
        <v>400.8</v>
      </c>
      <c r="B425" s="1">
        <v>400.8</v>
      </c>
      <c r="C425" s="1">
        <f>LN(dane_7[[#This Row],[Dane wejściowe posortowane]])</f>
        <v>5.9934625497706548</v>
      </c>
      <c r="D425" s="1">
        <v>424</v>
      </c>
      <c r="G425" s="1">
        <f>dane_7[[#This Row],[Nr próbki]]/($G$1+1)</f>
        <v>0.42357642357642356</v>
      </c>
      <c r="H425" s="1">
        <f>(dane_7[[#This Row],[Logarytm naturalny]]-$I$2)/$J$2</f>
        <v>0.10208588829008935</v>
      </c>
      <c r="M425" s="1">
        <f t="shared" si="6"/>
        <v>0.54065574899756674</v>
      </c>
    </row>
    <row r="426" spans="1:13" x14ac:dyDescent="0.25">
      <c r="A426" s="1">
        <v>400.8</v>
      </c>
      <c r="B426" s="1">
        <v>400.8</v>
      </c>
      <c r="C426" s="1">
        <f>LN(dane_7[[#This Row],[Dane wejściowe posortowane]])</f>
        <v>5.9934625497706548</v>
      </c>
      <c r="D426" s="1">
        <v>425</v>
      </c>
      <c r="G426" s="1">
        <f>dane_7[[#This Row],[Nr próbki]]/($G$1+1)</f>
        <v>0.42457542457542458</v>
      </c>
      <c r="H426" s="1">
        <f>(dane_7[[#This Row],[Logarytm naturalny]]-$I$2)/$J$2</f>
        <v>0.10208588829008935</v>
      </c>
      <c r="M426" s="1">
        <f t="shared" si="6"/>
        <v>0.54065574899756674</v>
      </c>
    </row>
    <row r="427" spans="1:13" x14ac:dyDescent="0.25">
      <c r="A427" s="1">
        <v>400.8</v>
      </c>
      <c r="B427" s="1">
        <v>400.8</v>
      </c>
      <c r="C427" s="1">
        <f>LN(dane_7[[#This Row],[Dane wejściowe posortowane]])</f>
        <v>5.9934625497706548</v>
      </c>
      <c r="D427" s="1">
        <v>426</v>
      </c>
      <c r="G427" s="1">
        <f>dane_7[[#This Row],[Nr próbki]]/($G$1+1)</f>
        <v>0.4255744255744256</v>
      </c>
      <c r="H427" s="1">
        <f>(dane_7[[#This Row],[Logarytm naturalny]]-$I$2)/$J$2</f>
        <v>0.10208588829008935</v>
      </c>
      <c r="M427" s="1">
        <f t="shared" si="6"/>
        <v>0.54065574899756674</v>
      </c>
    </row>
    <row r="428" spans="1:13" x14ac:dyDescent="0.25">
      <c r="A428" s="1">
        <v>400.8</v>
      </c>
      <c r="B428" s="1">
        <v>400.8</v>
      </c>
      <c r="C428" s="1">
        <f>LN(dane_7[[#This Row],[Dane wejściowe posortowane]])</f>
        <v>5.9934625497706548</v>
      </c>
      <c r="D428" s="1">
        <v>427</v>
      </c>
      <c r="G428" s="1">
        <f>dane_7[[#This Row],[Nr próbki]]/($G$1+1)</f>
        <v>0.42657342657342656</v>
      </c>
      <c r="H428" s="1">
        <f>(dane_7[[#This Row],[Logarytm naturalny]]-$I$2)/$J$2</f>
        <v>0.10208588829008935</v>
      </c>
      <c r="M428" s="1">
        <f t="shared" si="6"/>
        <v>0.54065574899756674</v>
      </c>
    </row>
    <row r="429" spans="1:13" x14ac:dyDescent="0.25">
      <c r="A429" s="1">
        <v>400.8</v>
      </c>
      <c r="B429" s="1">
        <v>400.8</v>
      </c>
      <c r="C429" s="1">
        <f>LN(dane_7[[#This Row],[Dane wejściowe posortowane]])</f>
        <v>5.9934625497706548</v>
      </c>
      <c r="D429" s="1">
        <v>428</v>
      </c>
      <c r="G429" s="1">
        <f>dane_7[[#This Row],[Nr próbki]]/($G$1+1)</f>
        <v>0.42757242757242758</v>
      </c>
      <c r="H429" s="1">
        <f>(dane_7[[#This Row],[Logarytm naturalny]]-$I$2)/$J$2</f>
        <v>0.10208588829008935</v>
      </c>
      <c r="M429" s="1">
        <f t="shared" si="6"/>
        <v>0.54065574899756674</v>
      </c>
    </row>
    <row r="430" spans="1:13" x14ac:dyDescent="0.25">
      <c r="A430" s="1">
        <v>400.8</v>
      </c>
      <c r="B430" s="1">
        <v>400.8</v>
      </c>
      <c r="C430" s="1">
        <f>LN(dane_7[[#This Row],[Dane wejściowe posortowane]])</f>
        <v>5.9934625497706548</v>
      </c>
      <c r="D430" s="1">
        <v>429</v>
      </c>
      <c r="G430" s="1">
        <f>dane_7[[#This Row],[Nr próbki]]/($G$1+1)</f>
        <v>0.42857142857142855</v>
      </c>
      <c r="H430" s="1">
        <f>(dane_7[[#This Row],[Logarytm naturalny]]-$I$2)/$J$2</f>
        <v>0.10208588829008935</v>
      </c>
      <c r="M430" s="1">
        <f t="shared" si="6"/>
        <v>0.54065574899756674</v>
      </c>
    </row>
    <row r="431" spans="1:13" x14ac:dyDescent="0.25">
      <c r="A431" s="1">
        <v>400.9</v>
      </c>
      <c r="B431" s="1">
        <v>400.9</v>
      </c>
      <c r="C431" s="1">
        <f>LN(dane_7[[#This Row],[Dane wejściowe posortowane]])</f>
        <v>5.993712019648461</v>
      </c>
      <c r="D431" s="1">
        <v>430</v>
      </c>
      <c r="G431" s="1">
        <f>dane_7[[#This Row],[Nr próbki]]/($G$1+1)</f>
        <v>0.42957042957042957</v>
      </c>
      <c r="H431" s="1">
        <f>(dane_7[[#This Row],[Logarytm naturalny]]-$I$2)/$J$2</f>
        <v>0.1364384622153528</v>
      </c>
      <c r="M431" s="1">
        <f t="shared" si="6"/>
        <v>0.55426266524755463</v>
      </c>
    </row>
    <row r="432" spans="1:13" x14ac:dyDescent="0.25">
      <c r="A432" s="1">
        <v>400.9</v>
      </c>
      <c r="B432" s="1">
        <v>400.9</v>
      </c>
      <c r="C432" s="1">
        <f>LN(dane_7[[#This Row],[Dane wejściowe posortowane]])</f>
        <v>5.993712019648461</v>
      </c>
      <c r="D432" s="1">
        <v>431</v>
      </c>
      <c r="G432" s="1">
        <f>dane_7[[#This Row],[Nr próbki]]/($G$1+1)</f>
        <v>0.43056943056943059</v>
      </c>
      <c r="H432" s="1">
        <f>(dane_7[[#This Row],[Logarytm naturalny]]-$I$2)/$J$2</f>
        <v>0.1364384622153528</v>
      </c>
      <c r="M432" s="1">
        <f t="shared" si="6"/>
        <v>0.55426266524755463</v>
      </c>
    </row>
    <row r="433" spans="1:13" x14ac:dyDescent="0.25">
      <c r="A433" s="1">
        <v>400.9</v>
      </c>
      <c r="B433" s="1">
        <v>400.9</v>
      </c>
      <c r="C433" s="1">
        <f>LN(dane_7[[#This Row],[Dane wejściowe posortowane]])</f>
        <v>5.993712019648461</v>
      </c>
      <c r="D433" s="1">
        <v>432</v>
      </c>
      <c r="G433" s="1">
        <f>dane_7[[#This Row],[Nr próbki]]/($G$1+1)</f>
        <v>0.43156843156843155</v>
      </c>
      <c r="H433" s="1">
        <f>(dane_7[[#This Row],[Logarytm naturalny]]-$I$2)/$J$2</f>
        <v>0.1364384622153528</v>
      </c>
      <c r="M433" s="1">
        <f t="shared" si="6"/>
        <v>0.55426266524755463</v>
      </c>
    </row>
    <row r="434" spans="1:13" x14ac:dyDescent="0.25">
      <c r="A434" s="1">
        <v>400.9</v>
      </c>
      <c r="B434" s="1">
        <v>400.9</v>
      </c>
      <c r="C434" s="1">
        <f>LN(dane_7[[#This Row],[Dane wejściowe posortowane]])</f>
        <v>5.993712019648461</v>
      </c>
      <c r="D434" s="1">
        <v>433</v>
      </c>
      <c r="G434" s="1">
        <f>dane_7[[#This Row],[Nr próbki]]/($G$1+1)</f>
        <v>0.43256743256743257</v>
      </c>
      <c r="H434" s="1">
        <f>(dane_7[[#This Row],[Logarytm naturalny]]-$I$2)/$J$2</f>
        <v>0.1364384622153528</v>
      </c>
      <c r="M434" s="1">
        <f t="shared" si="6"/>
        <v>0.55426266524755463</v>
      </c>
    </row>
    <row r="435" spans="1:13" x14ac:dyDescent="0.25">
      <c r="A435" s="1">
        <v>400.9</v>
      </c>
      <c r="B435" s="1">
        <v>400.9</v>
      </c>
      <c r="C435" s="1">
        <f>LN(dane_7[[#This Row],[Dane wejściowe posortowane]])</f>
        <v>5.993712019648461</v>
      </c>
      <c r="D435" s="1">
        <v>434</v>
      </c>
      <c r="G435" s="1">
        <f>dane_7[[#This Row],[Nr próbki]]/($G$1+1)</f>
        <v>0.43356643356643354</v>
      </c>
      <c r="H435" s="1">
        <f>(dane_7[[#This Row],[Logarytm naturalny]]-$I$2)/$J$2</f>
        <v>0.1364384622153528</v>
      </c>
      <c r="M435" s="1">
        <f t="shared" si="6"/>
        <v>0.55426266524755463</v>
      </c>
    </row>
    <row r="436" spans="1:13" x14ac:dyDescent="0.25">
      <c r="A436" s="1">
        <v>400.9</v>
      </c>
      <c r="B436" s="1">
        <v>400.9</v>
      </c>
      <c r="C436" s="1">
        <f>LN(dane_7[[#This Row],[Dane wejściowe posortowane]])</f>
        <v>5.993712019648461</v>
      </c>
      <c r="D436" s="1">
        <v>435</v>
      </c>
      <c r="G436" s="1">
        <f>dane_7[[#This Row],[Nr próbki]]/($G$1+1)</f>
        <v>0.43456543456543456</v>
      </c>
      <c r="H436" s="1">
        <f>(dane_7[[#This Row],[Logarytm naturalny]]-$I$2)/$J$2</f>
        <v>0.1364384622153528</v>
      </c>
      <c r="M436" s="1">
        <f t="shared" si="6"/>
        <v>0.55426266524755463</v>
      </c>
    </row>
    <row r="437" spans="1:13" x14ac:dyDescent="0.25">
      <c r="A437" s="1">
        <v>400.9</v>
      </c>
      <c r="B437" s="1">
        <v>400.9</v>
      </c>
      <c r="C437" s="1">
        <f>LN(dane_7[[#This Row],[Dane wejściowe posortowane]])</f>
        <v>5.993712019648461</v>
      </c>
      <c r="D437" s="1">
        <v>436</v>
      </c>
      <c r="G437" s="1">
        <f>dane_7[[#This Row],[Nr próbki]]/($G$1+1)</f>
        <v>0.43556443556443558</v>
      </c>
      <c r="H437" s="1">
        <f>(dane_7[[#This Row],[Logarytm naturalny]]-$I$2)/$J$2</f>
        <v>0.1364384622153528</v>
      </c>
      <c r="M437" s="1">
        <f t="shared" si="6"/>
        <v>0.55426266524755463</v>
      </c>
    </row>
    <row r="438" spans="1:13" x14ac:dyDescent="0.25">
      <c r="A438" s="1">
        <v>400.9</v>
      </c>
      <c r="B438" s="1">
        <v>400.9</v>
      </c>
      <c r="C438" s="1">
        <f>LN(dane_7[[#This Row],[Dane wejściowe posortowane]])</f>
        <v>5.993712019648461</v>
      </c>
      <c r="D438" s="1">
        <v>437</v>
      </c>
      <c r="G438" s="1">
        <f>dane_7[[#This Row],[Nr próbki]]/($G$1+1)</f>
        <v>0.43656343656343655</v>
      </c>
      <c r="H438" s="1">
        <f>(dane_7[[#This Row],[Logarytm naturalny]]-$I$2)/$J$2</f>
        <v>0.1364384622153528</v>
      </c>
      <c r="M438" s="1">
        <f t="shared" si="6"/>
        <v>0.55426266524755463</v>
      </c>
    </row>
    <row r="439" spans="1:13" x14ac:dyDescent="0.25">
      <c r="A439" s="1">
        <v>400.9</v>
      </c>
      <c r="B439" s="1">
        <v>400.9</v>
      </c>
      <c r="C439" s="1">
        <f>LN(dane_7[[#This Row],[Dane wejściowe posortowane]])</f>
        <v>5.993712019648461</v>
      </c>
      <c r="D439" s="1">
        <v>438</v>
      </c>
      <c r="G439" s="1">
        <f>dane_7[[#This Row],[Nr próbki]]/($G$1+1)</f>
        <v>0.43756243756243757</v>
      </c>
      <c r="H439" s="1">
        <f>(dane_7[[#This Row],[Logarytm naturalny]]-$I$2)/$J$2</f>
        <v>0.1364384622153528</v>
      </c>
      <c r="M439" s="1">
        <f t="shared" si="6"/>
        <v>0.55426266524755463</v>
      </c>
    </row>
    <row r="440" spans="1:13" x14ac:dyDescent="0.25">
      <c r="A440" s="1">
        <v>400.9</v>
      </c>
      <c r="B440" s="1">
        <v>400.9</v>
      </c>
      <c r="C440" s="1">
        <f>LN(dane_7[[#This Row],[Dane wejściowe posortowane]])</f>
        <v>5.993712019648461</v>
      </c>
      <c r="D440" s="1">
        <v>439</v>
      </c>
      <c r="G440" s="1">
        <f>dane_7[[#This Row],[Nr próbki]]/($G$1+1)</f>
        <v>0.43856143856143859</v>
      </c>
      <c r="H440" s="1">
        <f>(dane_7[[#This Row],[Logarytm naturalny]]-$I$2)/$J$2</f>
        <v>0.1364384622153528</v>
      </c>
      <c r="M440" s="1">
        <f t="shared" si="6"/>
        <v>0.55426266524755463</v>
      </c>
    </row>
    <row r="441" spans="1:13" x14ac:dyDescent="0.25">
      <c r="A441" s="1">
        <v>400.9</v>
      </c>
      <c r="B441" s="1">
        <v>400.9</v>
      </c>
      <c r="C441" s="1">
        <f>LN(dane_7[[#This Row],[Dane wejściowe posortowane]])</f>
        <v>5.993712019648461</v>
      </c>
      <c r="D441" s="1">
        <v>440</v>
      </c>
      <c r="G441" s="1">
        <f>dane_7[[#This Row],[Nr próbki]]/($G$1+1)</f>
        <v>0.43956043956043955</v>
      </c>
      <c r="H441" s="1">
        <f>(dane_7[[#This Row],[Logarytm naturalny]]-$I$2)/$J$2</f>
        <v>0.1364384622153528</v>
      </c>
      <c r="M441" s="1">
        <f t="shared" si="6"/>
        <v>0.55426266524755463</v>
      </c>
    </row>
    <row r="442" spans="1:13" x14ac:dyDescent="0.25">
      <c r="A442" s="1">
        <v>400.9</v>
      </c>
      <c r="B442" s="1">
        <v>400.9</v>
      </c>
      <c r="C442" s="1">
        <f>LN(dane_7[[#This Row],[Dane wejściowe posortowane]])</f>
        <v>5.993712019648461</v>
      </c>
      <c r="D442" s="1">
        <v>441</v>
      </c>
      <c r="G442" s="1">
        <f>dane_7[[#This Row],[Nr próbki]]/($G$1+1)</f>
        <v>0.44055944055944057</v>
      </c>
      <c r="H442" s="1">
        <f>(dane_7[[#This Row],[Logarytm naturalny]]-$I$2)/$J$2</f>
        <v>0.1364384622153528</v>
      </c>
      <c r="M442" s="1">
        <f t="shared" si="6"/>
        <v>0.55426266524755463</v>
      </c>
    </row>
    <row r="443" spans="1:13" x14ac:dyDescent="0.25">
      <c r="A443" s="1">
        <v>400.9</v>
      </c>
      <c r="B443" s="1">
        <v>400.9</v>
      </c>
      <c r="C443" s="1">
        <f>LN(dane_7[[#This Row],[Dane wejściowe posortowane]])</f>
        <v>5.993712019648461</v>
      </c>
      <c r="D443" s="1">
        <v>442</v>
      </c>
      <c r="G443" s="1">
        <f>dane_7[[#This Row],[Nr próbki]]/($G$1+1)</f>
        <v>0.44155844155844154</v>
      </c>
      <c r="H443" s="1">
        <f>(dane_7[[#This Row],[Logarytm naturalny]]-$I$2)/$J$2</f>
        <v>0.1364384622153528</v>
      </c>
      <c r="M443" s="1">
        <f t="shared" si="6"/>
        <v>0.55426266524755463</v>
      </c>
    </row>
    <row r="444" spans="1:13" x14ac:dyDescent="0.25">
      <c r="A444" s="1">
        <v>400.9</v>
      </c>
      <c r="B444" s="1">
        <v>400.9</v>
      </c>
      <c r="C444" s="1">
        <f>LN(dane_7[[#This Row],[Dane wejściowe posortowane]])</f>
        <v>5.993712019648461</v>
      </c>
      <c r="D444" s="1">
        <v>443</v>
      </c>
      <c r="G444" s="1">
        <f>dane_7[[#This Row],[Nr próbki]]/($G$1+1)</f>
        <v>0.44255744255744256</v>
      </c>
      <c r="H444" s="1">
        <f>(dane_7[[#This Row],[Logarytm naturalny]]-$I$2)/$J$2</f>
        <v>0.1364384622153528</v>
      </c>
      <c r="M444" s="1">
        <f t="shared" si="6"/>
        <v>0.55426266524755463</v>
      </c>
    </row>
    <row r="445" spans="1:13" x14ac:dyDescent="0.25">
      <c r="A445" s="1">
        <v>400.9</v>
      </c>
      <c r="B445" s="1">
        <v>400.9</v>
      </c>
      <c r="C445" s="1">
        <f>LN(dane_7[[#This Row],[Dane wejściowe posortowane]])</f>
        <v>5.993712019648461</v>
      </c>
      <c r="D445" s="1">
        <v>444</v>
      </c>
      <c r="G445" s="1">
        <f>dane_7[[#This Row],[Nr próbki]]/($G$1+1)</f>
        <v>0.44355644355644358</v>
      </c>
      <c r="H445" s="1">
        <f>(dane_7[[#This Row],[Logarytm naturalny]]-$I$2)/$J$2</f>
        <v>0.1364384622153528</v>
      </c>
      <c r="M445" s="1">
        <f t="shared" si="6"/>
        <v>0.55426266524755463</v>
      </c>
    </row>
    <row r="446" spans="1:13" x14ac:dyDescent="0.25">
      <c r="A446" s="1">
        <v>400.9</v>
      </c>
      <c r="B446" s="1">
        <v>400.9</v>
      </c>
      <c r="C446" s="1">
        <f>LN(dane_7[[#This Row],[Dane wejściowe posortowane]])</f>
        <v>5.993712019648461</v>
      </c>
      <c r="D446" s="1">
        <v>445</v>
      </c>
      <c r="G446" s="1">
        <f>dane_7[[#This Row],[Nr próbki]]/($G$1+1)</f>
        <v>0.44455544455544455</v>
      </c>
      <c r="H446" s="1">
        <f>(dane_7[[#This Row],[Logarytm naturalny]]-$I$2)/$J$2</f>
        <v>0.1364384622153528</v>
      </c>
      <c r="M446" s="1">
        <f t="shared" si="6"/>
        <v>0.55426266524755463</v>
      </c>
    </row>
    <row r="447" spans="1:13" x14ac:dyDescent="0.25">
      <c r="A447" s="1">
        <v>400.9</v>
      </c>
      <c r="B447" s="1">
        <v>400.9</v>
      </c>
      <c r="C447" s="1">
        <f>LN(dane_7[[#This Row],[Dane wejściowe posortowane]])</f>
        <v>5.993712019648461</v>
      </c>
      <c r="D447" s="1">
        <v>446</v>
      </c>
      <c r="G447" s="1">
        <f>dane_7[[#This Row],[Nr próbki]]/($G$1+1)</f>
        <v>0.44555444555444557</v>
      </c>
      <c r="H447" s="1">
        <f>(dane_7[[#This Row],[Logarytm naturalny]]-$I$2)/$J$2</f>
        <v>0.1364384622153528</v>
      </c>
      <c r="M447" s="1">
        <f t="shared" si="6"/>
        <v>0.55426266524755463</v>
      </c>
    </row>
    <row r="448" spans="1:13" x14ac:dyDescent="0.25">
      <c r="A448" s="1">
        <v>401</v>
      </c>
      <c r="B448" s="1">
        <v>401</v>
      </c>
      <c r="C448" s="1">
        <f>LN(dane_7[[#This Row],[Dane wejściowe posortowane]])</f>
        <v>5.9939614273065693</v>
      </c>
      <c r="D448" s="1">
        <v>447</v>
      </c>
      <c r="G448" s="1">
        <f>dane_7[[#This Row],[Nr próbki]]/($G$1+1)</f>
        <v>0.44655344655344653</v>
      </c>
      <c r="H448" s="1">
        <f>(dane_7[[#This Row],[Logarytm naturalny]]-$I$2)/$J$2</f>
        <v>0.17078246834562472</v>
      </c>
      <c r="M448" s="1">
        <f t="shared" si="6"/>
        <v>0.56780259261256494</v>
      </c>
    </row>
    <row r="449" spans="1:13" x14ac:dyDescent="0.25">
      <c r="A449" s="1">
        <v>401</v>
      </c>
      <c r="B449" s="1">
        <v>401</v>
      </c>
      <c r="C449" s="1">
        <f>LN(dane_7[[#This Row],[Dane wejściowe posortowane]])</f>
        <v>5.9939614273065693</v>
      </c>
      <c r="D449" s="1">
        <v>448</v>
      </c>
      <c r="G449" s="1">
        <f>dane_7[[#This Row],[Nr próbki]]/($G$1+1)</f>
        <v>0.44755244755244755</v>
      </c>
      <c r="H449" s="1">
        <f>(dane_7[[#This Row],[Logarytm naturalny]]-$I$2)/$J$2</f>
        <v>0.17078246834562472</v>
      </c>
      <c r="M449" s="1">
        <f t="shared" si="6"/>
        <v>0.56780259261256494</v>
      </c>
    </row>
    <row r="450" spans="1:13" x14ac:dyDescent="0.25">
      <c r="A450" s="1">
        <v>401</v>
      </c>
      <c r="B450" s="1">
        <v>401</v>
      </c>
      <c r="C450" s="1">
        <f>LN(dane_7[[#This Row],[Dane wejściowe posortowane]])</f>
        <v>5.9939614273065693</v>
      </c>
      <c r="D450" s="1">
        <v>449</v>
      </c>
      <c r="G450" s="1">
        <f>dane_7[[#This Row],[Nr próbki]]/($G$1+1)</f>
        <v>0.44855144855144857</v>
      </c>
      <c r="H450" s="1">
        <f>(dane_7[[#This Row],[Logarytm naturalny]]-$I$2)/$J$2</f>
        <v>0.17078246834562472</v>
      </c>
      <c r="M450" s="1">
        <f t="shared" si="6"/>
        <v>0.56780259261256494</v>
      </c>
    </row>
    <row r="451" spans="1:13" x14ac:dyDescent="0.25">
      <c r="A451" s="1">
        <v>401</v>
      </c>
      <c r="B451" s="1">
        <v>401</v>
      </c>
      <c r="C451" s="1">
        <f>LN(dane_7[[#This Row],[Dane wejściowe posortowane]])</f>
        <v>5.9939614273065693</v>
      </c>
      <c r="D451" s="1">
        <v>450</v>
      </c>
      <c r="G451" s="1">
        <f>dane_7[[#This Row],[Nr próbki]]/($G$1+1)</f>
        <v>0.44955044955044954</v>
      </c>
      <c r="H451" s="1">
        <f>(dane_7[[#This Row],[Logarytm naturalny]]-$I$2)/$J$2</f>
        <v>0.17078246834562472</v>
      </c>
      <c r="M451" s="1">
        <f t="shared" ref="M451:M514" si="7">LOGNORMDIST(B451:B1450,$I$2,$J$2)</f>
        <v>0.56780259261256494</v>
      </c>
    </row>
    <row r="452" spans="1:13" x14ac:dyDescent="0.25">
      <c r="A452" s="1">
        <v>401</v>
      </c>
      <c r="B452" s="1">
        <v>401</v>
      </c>
      <c r="C452" s="1">
        <f>LN(dane_7[[#This Row],[Dane wejściowe posortowane]])</f>
        <v>5.9939614273065693</v>
      </c>
      <c r="D452" s="1">
        <v>451</v>
      </c>
      <c r="G452" s="1">
        <f>dane_7[[#This Row],[Nr próbki]]/($G$1+1)</f>
        <v>0.45054945054945056</v>
      </c>
      <c r="H452" s="1">
        <f>(dane_7[[#This Row],[Logarytm naturalny]]-$I$2)/$J$2</f>
        <v>0.17078246834562472</v>
      </c>
      <c r="M452" s="1">
        <f t="shared" si="7"/>
        <v>0.56780259261256494</v>
      </c>
    </row>
    <row r="453" spans="1:13" x14ac:dyDescent="0.25">
      <c r="A453" s="1">
        <v>401</v>
      </c>
      <c r="B453" s="1">
        <v>401</v>
      </c>
      <c r="C453" s="1">
        <f>LN(dane_7[[#This Row],[Dane wejściowe posortowane]])</f>
        <v>5.9939614273065693</v>
      </c>
      <c r="D453" s="1">
        <v>452</v>
      </c>
      <c r="G453" s="1">
        <f>dane_7[[#This Row],[Nr próbki]]/($G$1+1)</f>
        <v>0.45154845154845152</v>
      </c>
      <c r="H453" s="1">
        <f>(dane_7[[#This Row],[Logarytm naturalny]]-$I$2)/$J$2</f>
        <v>0.17078246834562472</v>
      </c>
      <c r="M453" s="1">
        <f t="shared" si="7"/>
        <v>0.56780259261256494</v>
      </c>
    </row>
    <row r="454" spans="1:13" x14ac:dyDescent="0.25">
      <c r="A454" s="1">
        <v>401</v>
      </c>
      <c r="B454" s="1">
        <v>401</v>
      </c>
      <c r="C454" s="1">
        <f>LN(dane_7[[#This Row],[Dane wejściowe posortowane]])</f>
        <v>5.9939614273065693</v>
      </c>
      <c r="D454" s="1">
        <v>453</v>
      </c>
      <c r="G454" s="1">
        <f>dane_7[[#This Row],[Nr próbki]]/($G$1+1)</f>
        <v>0.45254745254745254</v>
      </c>
      <c r="H454" s="1">
        <f>(dane_7[[#This Row],[Logarytm naturalny]]-$I$2)/$J$2</f>
        <v>0.17078246834562472</v>
      </c>
      <c r="M454" s="1">
        <f t="shared" si="7"/>
        <v>0.56780259261256494</v>
      </c>
    </row>
    <row r="455" spans="1:13" x14ac:dyDescent="0.25">
      <c r="A455" s="1">
        <v>401</v>
      </c>
      <c r="B455" s="1">
        <v>401</v>
      </c>
      <c r="C455" s="1">
        <f>LN(dane_7[[#This Row],[Dane wejściowe posortowane]])</f>
        <v>5.9939614273065693</v>
      </c>
      <c r="D455" s="1">
        <v>454</v>
      </c>
      <c r="G455" s="1">
        <f>dane_7[[#This Row],[Nr próbki]]/($G$1+1)</f>
        <v>0.45354645354645357</v>
      </c>
      <c r="H455" s="1">
        <f>(dane_7[[#This Row],[Logarytm naturalny]]-$I$2)/$J$2</f>
        <v>0.17078246834562472</v>
      </c>
      <c r="M455" s="1">
        <f t="shared" si="7"/>
        <v>0.56780259261256494</v>
      </c>
    </row>
    <row r="456" spans="1:13" x14ac:dyDescent="0.25">
      <c r="A456" s="1">
        <v>401</v>
      </c>
      <c r="B456" s="1">
        <v>401</v>
      </c>
      <c r="C456" s="1">
        <f>LN(dane_7[[#This Row],[Dane wejściowe posortowane]])</f>
        <v>5.9939614273065693</v>
      </c>
      <c r="D456" s="1">
        <v>455</v>
      </c>
      <c r="G456" s="1">
        <f>dane_7[[#This Row],[Nr próbki]]/($G$1+1)</f>
        <v>0.45454545454545453</v>
      </c>
      <c r="H456" s="1">
        <f>(dane_7[[#This Row],[Logarytm naturalny]]-$I$2)/$J$2</f>
        <v>0.17078246834562472</v>
      </c>
      <c r="M456" s="1">
        <f t="shared" si="7"/>
        <v>0.56780259261256494</v>
      </c>
    </row>
    <row r="457" spans="1:13" x14ac:dyDescent="0.25">
      <c r="A457" s="1">
        <v>401</v>
      </c>
      <c r="B457" s="1">
        <v>401</v>
      </c>
      <c r="C457" s="1">
        <f>LN(dane_7[[#This Row],[Dane wejściowe posortowane]])</f>
        <v>5.9939614273065693</v>
      </c>
      <c r="D457" s="1">
        <v>456</v>
      </c>
      <c r="G457" s="1">
        <f>dane_7[[#This Row],[Nr próbki]]/($G$1+1)</f>
        <v>0.45554445554445555</v>
      </c>
      <c r="H457" s="1">
        <f>(dane_7[[#This Row],[Logarytm naturalny]]-$I$2)/$J$2</f>
        <v>0.17078246834562472</v>
      </c>
      <c r="M457" s="1">
        <f t="shared" si="7"/>
        <v>0.56780259261256494</v>
      </c>
    </row>
    <row r="458" spans="1:13" x14ac:dyDescent="0.25">
      <c r="A458" s="1">
        <v>401</v>
      </c>
      <c r="B458" s="1">
        <v>401</v>
      </c>
      <c r="C458" s="1">
        <f>LN(dane_7[[#This Row],[Dane wejściowe posortowane]])</f>
        <v>5.9939614273065693</v>
      </c>
      <c r="D458" s="1">
        <v>457</v>
      </c>
      <c r="G458" s="1">
        <f>dane_7[[#This Row],[Nr próbki]]/($G$1+1)</f>
        <v>0.45654345654345652</v>
      </c>
      <c r="H458" s="1">
        <f>(dane_7[[#This Row],[Logarytm naturalny]]-$I$2)/$J$2</f>
        <v>0.17078246834562472</v>
      </c>
      <c r="M458" s="1">
        <f t="shared" si="7"/>
        <v>0.56780259261256494</v>
      </c>
    </row>
    <row r="459" spans="1:13" x14ac:dyDescent="0.25">
      <c r="A459" s="1">
        <v>401</v>
      </c>
      <c r="B459" s="1">
        <v>401</v>
      </c>
      <c r="C459" s="1">
        <f>LN(dane_7[[#This Row],[Dane wejściowe posortowane]])</f>
        <v>5.9939614273065693</v>
      </c>
      <c r="D459" s="1">
        <v>458</v>
      </c>
      <c r="G459" s="1">
        <f>dane_7[[#This Row],[Nr próbki]]/($G$1+1)</f>
        <v>0.45754245754245754</v>
      </c>
      <c r="H459" s="1">
        <f>(dane_7[[#This Row],[Logarytm naturalny]]-$I$2)/$J$2</f>
        <v>0.17078246834562472</v>
      </c>
      <c r="M459" s="1">
        <f t="shared" si="7"/>
        <v>0.56780259261256494</v>
      </c>
    </row>
    <row r="460" spans="1:13" x14ac:dyDescent="0.25">
      <c r="A460" s="1">
        <v>401</v>
      </c>
      <c r="B460" s="1">
        <v>401</v>
      </c>
      <c r="C460" s="1">
        <f>LN(dane_7[[#This Row],[Dane wejściowe posortowane]])</f>
        <v>5.9939614273065693</v>
      </c>
      <c r="D460" s="1">
        <v>459</v>
      </c>
      <c r="G460" s="1">
        <f>dane_7[[#This Row],[Nr próbki]]/($G$1+1)</f>
        <v>0.45854145854145856</v>
      </c>
      <c r="H460" s="1">
        <f>(dane_7[[#This Row],[Logarytm naturalny]]-$I$2)/$J$2</f>
        <v>0.17078246834562472</v>
      </c>
      <c r="M460" s="1">
        <f t="shared" si="7"/>
        <v>0.56780259261256494</v>
      </c>
    </row>
    <row r="461" spans="1:13" x14ac:dyDescent="0.25">
      <c r="A461" s="1">
        <v>401.1</v>
      </c>
      <c r="B461" s="1">
        <v>401.1</v>
      </c>
      <c r="C461" s="1">
        <f>LN(dane_7[[#This Row],[Dane wejściowe posortowane]])</f>
        <v>5.9942107727760074</v>
      </c>
      <c r="D461" s="1">
        <v>460</v>
      </c>
      <c r="G461" s="1">
        <f>dane_7[[#This Row],[Nr próbki]]/($G$1+1)</f>
        <v>0.45954045954045952</v>
      </c>
      <c r="H461" s="1">
        <f>(dane_7[[#This Row],[Logarytm naturalny]]-$I$2)/$J$2</f>
        <v>0.2051179109534802</v>
      </c>
      <c r="M461" s="1">
        <f t="shared" si="7"/>
        <v>0.58125999848660648</v>
      </c>
    </row>
    <row r="462" spans="1:13" x14ac:dyDescent="0.25">
      <c r="A462" s="1">
        <v>401.1</v>
      </c>
      <c r="B462" s="1">
        <v>401.1</v>
      </c>
      <c r="C462" s="1">
        <f>LN(dane_7[[#This Row],[Dane wejściowe posortowane]])</f>
        <v>5.9942107727760074</v>
      </c>
      <c r="D462" s="1">
        <v>461</v>
      </c>
      <c r="G462" s="1">
        <f>dane_7[[#This Row],[Nr próbki]]/($G$1+1)</f>
        <v>0.46053946053946054</v>
      </c>
      <c r="H462" s="1">
        <f>(dane_7[[#This Row],[Logarytm naturalny]]-$I$2)/$J$2</f>
        <v>0.2051179109534802</v>
      </c>
      <c r="M462" s="1">
        <f t="shared" si="7"/>
        <v>0.58125999848660648</v>
      </c>
    </row>
    <row r="463" spans="1:13" x14ac:dyDescent="0.25">
      <c r="A463" s="1">
        <v>401.1</v>
      </c>
      <c r="B463" s="1">
        <v>401.1</v>
      </c>
      <c r="C463" s="1">
        <f>LN(dane_7[[#This Row],[Dane wejściowe posortowane]])</f>
        <v>5.9942107727760074</v>
      </c>
      <c r="D463" s="1">
        <v>462</v>
      </c>
      <c r="G463" s="1">
        <f>dane_7[[#This Row],[Nr próbki]]/($G$1+1)</f>
        <v>0.46153846153846156</v>
      </c>
      <c r="H463" s="1">
        <f>(dane_7[[#This Row],[Logarytm naturalny]]-$I$2)/$J$2</f>
        <v>0.2051179109534802</v>
      </c>
      <c r="M463" s="1">
        <f t="shared" si="7"/>
        <v>0.58125999848660648</v>
      </c>
    </row>
    <row r="464" spans="1:13" x14ac:dyDescent="0.25">
      <c r="A464" s="1">
        <v>401.1</v>
      </c>
      <c r="B464" s="1">
        <v>401.1</v>
      </c>
      <c r="C464" s="1">
        <f>LN(dane_7[[#This Row],[Dane wejściowe posortowane]])</f>
        <v>5.9942107727760074</v>
      </c>
      <c r="D464" s="1">
        <v>463</v>
      </c>
      <c r="G464" s="1">
        <f>dane_7[[#This Row],[Nr próbki]]/($G$1+1)</f>
        <v>0.46253746253746253</v>
      </c>
      <c r="H464" s="1">
        <f>(dane_7[[#This Row],[Logarytm naturalny]]-$I$2)/$J$2</f>
        <v>0.2051179109534802</v>
      </c>
      <c r="M464" s="1">
        <f t="shared" si="7"/>
        <v>0.58125999848660648</v>
      </c>
    </row>
    <row r="465" spans="1:13" x14ac:dyDescent="0.25">
      <c r="A465" s="1">
        <v>401.1</v>
      </c>
      <c r="B465" s="1">
        <v>401.1</v>
      </c>
      <c r="C465" s="1">
        <f>LN(dane_7[[#This Row],[Dane wejściowe posortowane]])</f>
        <v>5.9942107727760074</v>
      </c>
      <c r="D465" s="1">
        <v>464</v>
      </c>
      <c r="G465" s="1">
        <f>dane_7[[#This Row],[Nr próbki]]/($G$1+1)</f>
        <v>0.46353646353646355</v>
      </c>
      <c r="H465" s="1">
        <f>(dane_7[[#This Row],[Logarytm naturalny]]-$I$2)/$J$2</f>
        <v>0.2051179109534802</v>
      </c>
      <c r="M465" s="1">
        <f t="shared" si="7"/>
        <v>0.58125999848660648</v>
      </c>
    </row>
    <row r="466" spans="1:13" x14ac:dyDescent="0.25">
      <c r="A466" s="1">
        <v>401.1</v>
      </c>
      <c r="B466" s="1">
        <v>401.1</v>
      </c>
      <c r="C466" s="1">
        <f>LN(dane_7[[#This Row],[Dane wejściowe posortowane]])</f>
        <v>5.9942107727760074</v>
      </c>
      <c r="D466" s="1">
        <v>465</v>
      </c>
      <c r="G466" s="1">
        <f>dane_7[[#This Row],[Nr próbki]]/($G$1+1)</f>
        <v>0.46453546453546452</v>
      </c>
      <c r="H466" s="1">
        <f>(dane_7[[#This Row],[Logarytm naturalny]]-$I$2)/$J$2</f>
        <v>0.2051179109534802</v>
      </c>
      <c r="M466" s="1">
        <f t="shared" si="7"/>
        <v>0.58125999848660648</v>
      </c>
    </row>
    <row r="467" spans="1:13" x14ac:dyDescent="0.25">
      <c r="A467" s="1">
        <v>401.1</v>
      </c>
      <c r="B467" s="1">
        <v>401.1</v>
      </c>
      <c r="C467" s="1">
        <f>LN(dane_7[[#This Row],[Dane wejściowe posortowane]])</f>
        <v>5.9942107727760074</v>
      </c>
      <c r="D467" s="1">
        <v>466</v>
      </c>
      <c r="G467" s="1">
        <f>dane_7[[#This Row],[Nr próbki]]/($G$1+1)</f>
        <v>0.46553446553446554</v>
      </c>
      <c r="H467" s="1">
        <f>(dane_7[[#This Row],[Logarytm naturalny]]-$I$2)/$J$2</f>
        <v>0.2051179109534802</v>
      </c>
      <c r="M467" s="1">
        <f t="shared" si="7"/>
        <v>0.58125999848660648</v>
      </c>
    </row>
    <row r="468" spans="1:13" x14ac:dyDescent="0.25">
      <c r="A468" s="1">
        <v>401.1</v>
      </c>
      <c r="B468" s="1">
        <v>401.1</v>
      </c>
      <c r="C468" s="1">
        <f>LN(dane_7[[#This Row],[Dane wejściowe posortowane]])</f>
        <v>5.9942107727760074</v>
      </c>
      <c r="D468" s="1">
        <v>467</v>
      </c>
      <c r="G468" s="1">
        <f>dane_7[[#This Row],[Nr próbki]]/($G$1+1)</f>
        <v>0.46653346653346656</v>
      </c>
      <c r="H468" s="1">
        <f>(dane_7[[#This Row],[Logarytm naturalny]]-$I$2)/$J$2</f>
        <v>0.2051179109534802</v>
      </c>
      <c r="M468" s="1">
        <f t="shared" si="7"/>
        <v>0.58125999848660648</v>
      </c>
    </row>
    <row r="469" spans="1:13" x14ac:dyDescent="0.25">
      <c r="A469" s="1">
        <v>401.1</v>
      </c>
      <c r="B469" s="1">
        <v>401.1</v>
      </c>
      <c r="C469" s="1">
        <f>LN(dane_7[[#This Row],[Dane wejściowe posortowane]])</f>
        <v>5.9942107727760074</v>
      </c>
      <c r="D469" s="1">
        <v>468</v>
      </c>
      <c r="G469" s="1">
        <f>dane_7[[#This Row],[Nr próbki]]/($G$1+1)</f>
        <v>0.46753246753246752</v>
      </c>
      <c r="H469" s="1">
        <f>(dane_7[[#This Row],[Logarytm naturalny]]-$I$2)/$J$2</f>
        <v>0.2051179109534802</v>
      </c>
      <c r="M469" s="1">
        <f t="shared" si="7"/>
        <v>0.58125999848660648</v>
      </c>
    </row>
    <row r="470" spans="1:13" x14ac:dyDescent="0.25">
      <c r="A470" s="1">
        <v>401.1</v>
      </c>
      <c r="B470" s="1">
        <v>401.1</v>
      </c>
      <c r="C470" s="1">
        <f>LN(dane_7[[#This Row],[Dane wejściowe posortowane]])</f>
        <v>5.9942107727760074</v>
      </c>
      <c r="D470" s="1">
        <v>469</v>
      </c>
      <c r="G470" s="1">
        <f>dane_7[[#This Row],[Nr próbki]]/($G$1+1)</f>
        <v>0.46853146853146854</v>
      </c>
      <c r="H470" s="1">
        <f>(dane_7[[#This Row],[Logarytm naturalny]]-$I$2)/$J$2</f>
        <v>0.2051179109534802</v>
      </c>
      <c r="M470" s="1">
        <f t="shared" si="7"/>
        <v>0.58125999848660648</v>
      </c>
    </row>
    <row r="471" spans="1:13" x14ac:dyDescent="0.25">
      <c r="A471" s="1">
        <v>401.1</v>
      </c>
      <c r="B471" s="1">
        <v>401.1</v>
      </c>
      <c r="C471" s="1">
        <f>LN(dane_7[[#This Row],[Dane wejściowe posortowane]])</f>
        <v>5.9942107727760074</v>
      </c>
      <c r="D471" s="1">
        <v>470</v>
      </c>
      <c r="G471" s="1">
        <f>dane_7[[#This Row],[Nr próbki]]/($G$1+1)</f>
        <v>0.46953046953046951</v>
      </c>
      <c r="H471" s="1">
        <f>(dane_7[[#This Row],[Logarytm naturalny]]-$I$2)/$J$2</f>
        <v>0.2051179109534802</v>
      </c>
      <c r="M471" s="1">
        <f t="shared" si="7"/>
        <v>0.58125999848660648</v>
      </c>
    </row>
    <row r="472" spans="1:13" x14ac:dyDescent="0.25">
      <c r="A472" s="1">
        <v>401.1</v>
      </c>
      <c r="B472" s="1">
        <v>401.1</v>
      </c>
      <c r="C472" s="1">
        <f>LN(dane_7[[#This Row],[Dane wejściowe posortowane]])</f>
        <v>5.9942107727760074</v>
      </c>
      <c r="D472" s="1">
        <v>471</v>
      </c>
      <c r="G472" s="1">
        <f>dane_7[[#This Row],[Nr próbki]]/($G$1+1)</f>
        <v>0.47052947052947053</v>
      </c>
      <c r="H472" s="1">
        <f>(dane_7[[#This Row],[Logarytm naturalny]]-$I$2)/$J$2</f>
        <v>0.2051179109534802</v>
      </c>
      <c r="M472" s="1">
        <f t="shared" si="7"/>
        <v>0.58125999848660648</v>
      </c>
    </row>
    <row r="473" spans="1:13" x14ac:dyDescent="0.25">
      <c r="A473" s="1">
        <v>401.1</v>
      </c>
      <c r="B473" s="1">
        <v>401.1</v>
      </c>
      <c r="C473" s="1">
        <f>LN(dane_7[[#This Row],[Dane wejściowe posortowane]])</f>
        <v>5.9942107727760074</v>
      </c>
      <c r="D473" s="1">
        <v>472</v>
      </c>
      <c r="G473" s="1">
        <f>dane_7[[#This Row],[Nr próbki]]/($G$1+1)</f>
        <v>0.47152847152847155</v>
      </c>
      <c r="H473" s="1">
        <f>(dane_7[[#This Row],[Logarytm naturalny]]-$I$2)/$J$2</f>
        <v>0.2051179109534802</v>
      </c>
      <c r="M473" s="1">
        <f t="shared" si="7"/>
        <v>0.58125999848660648</v>
      </c>
    </row>
    <row r="474" spans="1:13" x14ac:dyDescent="0.25">
      <c r="A474" s="1">
        <v>401.1</v>
      </c>
      <c r="B474" s="1">
        <v>401.1</v>
      </c>
      <c r="C474" s="1">
        <f>LN(dane_7[[#This Row],[Dane wejściowe posortowane]])</f>
        <v>5.9942107727760074</v>
      </c>
      <c r="D474" s="1">
        <v>473</v>
      </c>
      <c r="G474" s="1">
        <f>dane_7[[#This Row],[Nr próbki]]/($G$1+1)</f>
        <v>0.47252747252747251</v>
      </c>
      <c r="H474" s="1">
        <f>(dane_7[[#This Row],[Logarytm naturalny]]-$I$2)/$J$2</f>
        <v>0.2051179109534802</v>
      </c>
      <c r="M474" s="1">
        <f t="shared" si="7"/>
        <v>0.58125999848660648</v>
      </c>
    </row>
    <row r="475" spans="1:13" x14ac:dyDescent="0.25">
      <c r="A475" s="1">
        <v>401.1</v>
      </c>
      <c r="B475" s="1">
        <v>401.1</v>
      </c>
      <c r="C475" s="1">
        <f>LN(dane_7[[#This Row],[Dane wejściowe posortowane]])</f>
        <v>5.9942107727760074</v>
      </c>
      <c r="D475" s="1">
        <v>474</v>
      </c>
      <c r="G475" s="1">
        <f>dane_7[[#This Row],[Nr próbki]]/($G$1+1)</f>
        <v>0.47352647352647353</v>
      </c>
      <c r="H475" s="1">
        <f>(dane_7[[#This Row],[Logarytm naturalny]]-$I$2)/$J$2</f>
        <v>0.2051179109534802</v>
      </c>
      <c r="M475" s="1">
        <f t="shared" si="7"/>
        <v>0.58125999848660648</v>
      </c>
    </row>
    <row r="476" spans="1:13" x14ac:dyDescent="0.25">
      <c r="A476" s="1">
        <v>401.1</v>
      </c>
      <c r="B476" s="1">
        <v>401.1</v>
      </c>
      <c r="C476" s="1">
        <f>LN(dane_7[[#This Row],[Dane wejściowe posortowane]])</f>
        <v>5.9942107727760074</v>
      </c>
      <c r="D476" s="1">
        <v>475</v>
      </c>
      <c r="G476" s="1">
        <f>dane_7[[#This Row],[Nr próbki]]/($G$1+1)</f>
        <v>0.4745254745254745</v>
      </c>
      <c r="H476" s="1">
        <f>(dane_7[[#This Row],[Logarytm naturalny]]-$I$2)/$J$2</f>
        <v>0.2051179109534802</v>
      </c>
      <c r="M476" s="1">
        <f t="shared" si="7"/>
        <v>0.58125999848660648</v>
      </c>
    </row>
    <row r="477" spans="1:13" x14ac:dyDescent="0.25">
      <c r="A477" s="1">
        <v>401.1</v>
      </c>
      <c r="B477" s="1">
        <v>401.1</v>
      </c>
      <c r="C477" s="1">
        <f>LN(dane_7[[#This Row],[Dane wejściowe posortowane]])</f>
        <v>5.9942107727760074</v>
      </c>
      <c r="D477" s="1">
        <v>476</v>
      </c>
      <c r="G477" s="1">
        <f>dane_7[[#This Row],[Nr próbki]]/($G$1+1)</f>
        <v>0.47552447552447552</v>
      </c>
      <c r="H477" s="1">
        <f>(dane_7[[#This Row],[Logarytm naturalny]]-$I$2)/$J$2</f>
        <v>0.2051179109534802</v>
      </c>
      <c r="M477" s="1">
        <f t="shared" si="7"/>
        <v>0.58125999848660648</v>
      </c>
    </row>
    <row r="478" spans="1:13" x14ac:dyDescent="0.25">
      <c r="A478" s="1">
        <v>401.1</v>
      </c>
      <c r="B478" s="1">
        <v>401.1</v>
      </c>
      <c r="C478" s="1">
        <f>LN(dane_7[[#This Row],[Dane wejściowe posortowane]])</f>
        <v>5.9942107727760074</v>
      </c>
      <c r="D478" s="1">
        <v>477</v>
      </c>
      <c r="G478" s="1">
        <f>dane_7[[#This Row],[Nr próbki]]/($G$1+1)</f>
        <v>0.47652347652347654</v>
      </c>
      <c r="H478" s="1">
        <f>(dane_7[[#This Row],[Logarytm naturalny]]-$I$2)/$J$2</f>
        <v>0.2051179109534802</v>
      </c>
      <c r="M478" s="1">
        <f t="shared" si="7"/>
        <v>0.58125999848660648</v>
      </c>
    </row>
    <row r="479" spans="1:13" x14ac:dyDescent="0.25">
      <c r="A479" s="1">
        <v>401.1</v>
      </c>
      <c r="B479" s="1">
        <v>401.1</v>
      </c>
      <c r="C479" s="1">
        <f>LN(dane_7[[#This Row],[Dane wejściowe posortowane]])</f>
        <v>5.9942107727760074</v>
      </c>
      <c r="D479" s="1">
        <v>478</v>
      </c>
      <c r="G479" s="1">
        <f>dane_7[[#This Row],[Nr próbki]]/($G$1+1)</f>
        <v>0.47752247752247751</v>
      </c>
      <c r="H479" s="1">
        <f>(dane_7[[#This Row],[Logarytm naturalny]]-$I$2)/$J$2</f>
        <v>0.2051179109534802</v>
      </c>
      <c r="M479" s="1">
        <f t="shared" si="7"/>
        <v>0.58125999848660648</v>
      </c>
    </row>
    <row r="480" spans="1:13" x14ac:dyDescent="0.25">
      <c r="A480" s="1">
        <v>401.1</v>
      </c>
      <c r="B480" s="1">
        <v>401.1</v>
      </c>
      <c r="C480" s="1">
        <f>LN(dane_7[[#This Row],[Dane wejściowe posortowane]])</f>
        <v>5.9942107727760074</v>
      </c>
      <c r="D480" s="1">
        <v>479</v>
      </c>
      <c r="G480" s="1">
        <f>dane_7[[#This Row],[Nr próbki]]/($G$1+1)</f>
        <v>0.47852147852147853</v>
      </c>
      <c r="H480" s="1">
        <f>(dane_7[[#This Row],[Logarytm naturalny]]-$I$2)/$J$2</f>
        <v>0.2051179109534802</v>
      </c>
      <c r="M480" s="1">
        <f t="shared" si="7"/>
        <v>0.58125999848660648</v>
      </c>
    </row>
    <row r="481" spans="1:13" x14ac:dyDescent="0.25">
      <c r="A481" s="1">
        <v>401.1</v>
      </c>
      <c r="B481" s="1">
        <v>401.1</v>
      </c>
      <c r="C481" s="1">
        <f>LN(dane_7[[#This Row],[Dane wejściowe posortowane]])</f>
        <v>5.9942107727760074</v>
      </c>
      <c r="D481" s="1">
        <v>480</v>
      </c>
      <c r="G481" s="1">
        <f>dane_7[[#This Row],[Nr próbki]]/($G$1+1)</f>
        <v>0.47952047952047955</v>
      </c>
      <c r="H481" s="1">
        <f>(dane_7[[#This Row],[Logarytm naturalny]]-$I$2)/$J$2</f>
        <v>0.2051179109534802</v>
      </c>
      <c r="M481" s="1">
        <f t="shared" si="7"/>
        <v>0.58125999848660648</v>
      </c>
    </row>
    <row r="482" spans="1:13" x14ac:dyDescent="0.25">
      <c r="A482" s="1">
        <v>401.1</v>
      </c>
      <c r="B482" s="1">
        <v>401.1</v>
      </c>
      <c r="C482" s="1">
        <f>LN(dane_7[[#This Row],[Dane wejściowe posortowane]])</f>
        <v>5.9942107727760074</v>
      </c>
      <c r="D482" s="1">
        <v>481</v>
      </c>
      <c r="G482" s="1">
        <f>dane_7[[#This Row],[Nr próbki]]/($G$1+1)</f>
        <v>0.48051948051948051</v>
      </c>
      <c r="H482" s="1">
        <f>(dane_7[[#This Row],[Logarytm naturalny]]-$I$2)/$J$2</f>
        <v>0.2051179109534802</v>
      </c>
      <c r="M482" s="1">
        <f t="shared" si="7"/>
        <v>0.58125999848660648</v>
      </c>
    </row>
    <row r="483" spans="1:13" x14ac:dyDescent="0.25">
      <c r="A483" s="1">
        <v>401.1</v>
      </c>
      <c r="B483" s="1">
        <v>401.1</v>
      </c>
      <c r="C483" s="1">
        <f>LN(dane_7[[#This Row],[Dane wejściowe posortowane]])</f>
        <v>5.9942107727760074</v>
      </c>
      <c r="D483" s="1">
        <v>482</v>
      </c>
      <c r="G483" s="1">
        <f>dane_7[[#This Row],[Nr próbki]]/($G$1+1)</f>
        <v>0.48151848151848153</v>
      </c>
      <c r="H483" s="1">
        <f>(dane_7[[#This Row],[Logarytm naturalny]]-$I$2)/$J$2</f>
        <v>0.2051179109534802</v>
      </c>
      <c r="M483" s="1">
        <f t="shared" si="7"/>
        <v>0.58125999848660648</v>
      </c>
    </row>
    <row r="484" spans="1:13" x14ac:dyDescent="0.25">
      <c r="A484" s="1">
        <v>401.2</v>
      </c>
      <c r="B484" s="1">
        <v>401.2</v>
      </c>
      <c r="C484" s="1">
        <f>LN(dane_7[[#This Row],[Dane wejściowe posortowane]])</f>
        <v>5.9944600560877808</v>
      </c>
      <c r="D484" s="1">
        <v>483</v>
      </c>
      <c r="G484" s="1">
        <f>dane_7[[#This Row],[Nr próbki]]/($G$1+1)</f>
        <v>0.4825174825174825</v>
      </c>
      <c r="H484" s="1">
        <f>(dane_7[[#This Row],[Logarytm naturalny]]-$I$2)/$J$2</f>
        <v>0.23944479430843668</v>
      </c>
      <c r="M484" s="1">
        <f t="shared" si="7"/>
        <v>0.59461965041925968</v>
      </c>
    </row>
    <row r="485" spans="1:13" x14ac:dyDescent="0.25">
      <c r="A485" s="1">
        <v>401.2</v>
      </c>
      <c r="B485" s="1">
        <v>401.2</v>
      </c>
      <c r="C485" s="1">
        <f>LN(dane_7[[#This Row],[Dane wejściowe posortowane]])</f>
        <v>5.9944600560877808</v>
      </c>
      <c r="D485" s="1">
        <v>484</v>
      </c>
      <c r="G485" s="1">
        <f>dane_7[[#This Row],[Nr próbki]]/($G$1+1)</f>
        <v>0.48351648351648352</v>
      </c>
      <c r="H485" s="1">
        <f>(dane_7[[#This Row],[Logarytm naturalny]]-$I$2)/$J$2</f>
        <v>0.23944479430843668</v>
      </c>
      <c r="M485" s="1">
        <f t="shared" si="7"/>
        <v>0.59461965041925968</v>
      </c>
    </row>
    <row r="486" spans="1:13" x14ac:dyDescent="0.25">
      <c r="A486" s="1">
        <v>401.2</v>
      </c>
      <c r="B486" s="1">
        <v>401.2</v>
      </c>
      <c r="C486" s="1">
        <f>LN(dane_7[[#This Row],[Dane wejściowe posortowane]])</f>
        <v>5.9944600560877808</v>
      </c>
      <c r="D486" s="1">
        <v>485</v>
      </c>
      <c r="G486" s="1">
        <f>dane_7[[#This Row],[Nr próbki]]/($G$1+1)</f>
        <v>0.48451548451548454</v>
      </c>
      <c r="H486" s="1">
        <f>(dane_7[[#This Row],[Logarytm naturalny]]-$I$2)/$J$2</f>
        <v>0.23944479430843668</v>
      </c>
      <c r="M486" s="1">
        <f t="shared" si="7"/>
        <v>0.59461965041925968</v>
      </c>
    </row>
    <row r="487" spans="1:13" x14ac:dyDescent="0.25">
      <c r="A487" s="1">
        <v>401.2</v>
      </c>
      <c r="B487" s="1">
        <v>401.2</v>
      </c>
      <c r="C487" s="1">
        <f>LN(dane_7[[#This Row],[Dane wejściowe posortowane]])</f>
        <v>5.9944600560877808</v>
      </c>
      <c r="D487" s="1">
        <v>486</v>
      </c>
      <c r="G487" s="1">
        <f>dane_7[[#This Row],[Nr próbki]]/($G$1+1)</f>
        <v>0.48551448551448551</v>
      </c>
      <c r="H487" s="1">
        <f>(dane_7[[#This Row],[Logarytm naturalny]]-$I$2)/$J$2</f>
        <v>0.23944479430843668</v>
      </c>
      <c r="M487" s="1">
        <f t="shared" si="7"/>
        <v>0.59461965041925968</v>
      </c>
    </row>
    <row r="488" spans="1:13" x14ac:dyDescent="0.25">
      <c r="A488" s="1">
        <v>401.2</v>
      </c>
      <c r="B488" s="1">
        <v>401.2</v>
      </c>
      <c r="C488" s="1">
        <f>LN(dane_7[[#This Row],[Dane wejściowe posortowane]])</f>
        <v>5.9944600560877808</v>
      </c>
      <c r="D488" s="1">
        <v>487</v>
      </c>
      <c r="G488" s="1">
        <f>dane_7[[#This Row],[Nr próbki]]/($G$1+1)</f>
        <v>0.48651348651348653</v>
      </c>
      <c r="H488" s="1">
        <f>(dane_7[[#This Row],[Logarytm naturalny]]-$I$2)/$J$2</f>
        <v>0.23944479430843668</v>
      </c>
      <c r="M488" s="1">
        <f t="shared" si="7"/>
        <v>0.59461965041925968</v>
      </c>
    </row>
    <row r="489" spans="1:13" x14ac:dyDescent="0.25">
      <c r="A489" s="1">
        <v>401.2</v>
      </c>
      <c r="B489" s="1">
        <v>401.2</v>
      </c>
      <c r="C489" s="1">
        <f>LN(dane_7[[#This Row],[Dane wejściowe posortowane]])</f>
        <v>5.9944600560877808</v>
      </c>
      <c r="D489" s="1">
        <v>488</v>
      </c>
      <c r="G489" s="1">
        <f>dane_7[[#This Row],[Nr próbki]]/($G$1+1)</f>
        <v>0.48751248751248749</v>
      </c>
      <c r="H489" s="1">
        <f>(dane_7[[#This Row],[Logarytm naturalny]]-$I$2)/$J$2</f>
        <v>0.23944479430843668</v>
      </c>
      <c r="M489" s="1">
        <f t="shared" si="7"/>
        <v>0.59461965041925968</v>
      </c>
    </row>
    <row r="490" spans="1:13" x14ac:dyDescent="0.25">
      <c r="A490" s="1">
        <v>401.2</v>
      </c>
      <c r="B490" s="1">
        <v>401.2</v>
      </c>
      <c r="C490" s="1">
        <f>LN(dane_7[[#This Row],[Dane wejściowe posortowane]])</f>
        <v>5.9944600560877808</v>
      </c>
      <c r="D490" s="1">
        <v>489</v>
      </c>
      <c r="G490" s="1">
        <f>dane_7[[#This Row],[Nr próbki]]/($G$1+1)</f>
        <v>0.48851148851148851</v>
      </c>
      <c r="H490" s="1">
        <f>(dane_7[[#This Row],[Logarytm naturalny]]-$I$2)/$J$2</f>
        <v>0.23944479430843668</v>
      </c>
      <c r="M490" s="1">
        <f t="shared" si="7"/>
        <v>0.59461965041925968</v>
      </c>
    </row>
    <row r="491" spans="1:13" x14ac:dyDescent="0.25">
      <c r="A491" s="1">
        <v>401.2</v>
      </c>
      <c r="B491" s="1">
        <v>401.2</v>
      </c>
      <c r="C491" s="1">
        <f>LN(dane_7[[#This Row],[Dane wejściowe posortowane]])</f>
        <v>5.9944600560877808</v>
      </c>
      <c r="D491" s="1">
        <v>490</v>
      </c>
      <c r="G491" s="1">
        <f>dane_7[[#This Row],[Nr próbki]]/($G$1+1)</f>
        <v>0.48951048951048953</v>
      </c>
      <c r="H491" s="1">
        <f>(dane_7[[#This Row],[Logarytm naturalny]]-$I$2)/$J$2</f>
        <v>0.23944479430843668</v>
      </c>
      <c r="M491" s="1">
        <f t="shared" si="7"/>
        <v>0.59461965041925968</v>
      </c>
    </row>
    <row r="492" spans="1:13" x14ac:dyDescent="0.25">
      <c r="A492" s="1">
        <v>401.2</v>
      </c>
      <c r="B492" s="1">
        <v>401.2</v>
      </c>
      <c r="C492" s="1">
        <f>LN(dane_7[[#This Row],[Dane wejściowe posortowane]])</f>
        <v>5.9944600560877808</v>
      </c>
      <c r="D492" s="1">
        <v>491</v>
      </c>
      <c r="G492" s="1">
        <f>dane_7[[#This Row],[Nr próbki]]/($G$1+1)</f>
        <v>0.4905094905094905</v>
      </c>
      <c r="H492" s="1">
        <f>(dane_7[[#This Row],[Logarytm naturalny]]-$I$2)/$J$2</f>
        <v>0.23944479430843668</v>
      </c>
      <c r="M492" s="1">
        <f t="shared" si="7"/>
        <v>0.59461965041925968</v>
      </c>
    </row>
    <row r="493" spans="1:13" x14ac:dyDescent="0.25">
      <c r="A493" s="1">
        <v>401.2</v>
      </c>
      <c r="B493" s="1">
        <v>401.2</v>
      </c>
      <c r="C493" s="1">
        <f>LN(dane_7[[#This Row],[Dane wejściowe posortowane]])</f>
        <v>5.9944600560877808</v>
      </c>
      <c r="D493" s="1">
        <v>492</v>
      </c>
      <c r="G493" s="1">
        <f>dane_7[[#This Row],[Nr próbki]]/($G$1+1)</f>
        <v>0.49150849150849152</v>
      </c>
      <c r="H493" s="1">
        <f>(dane_7[[#This Row],[Logarytm naturalny]]-$I$2)/$J$2</f>
        <v>0.23944479430843668</v>
      </c>
      <c r="M493" s="1">
        <f t="shared" si="7"/>
        <v>0.59461965041925968</v>
      </c>
    </row>
    <row r="494" spans="1:13" x14ac:dyDescent="0.25">
      <c r="A494" s="1">
        <v>401.2</v>
      </c>
      <c r="B494" s="1">
        <v>401.2</v>
      </c>
      <c r="C494" s="1">
        <f>LN(dane_7[[#This Row],[Dane wejściowe posortowane]])</f>
        <v>5.9944600560877808</v>
      </c>
      <c r="D494" s="1">
        <v>493</v>
      </c>
      <c r="G494" s="1">
        <f>dane_7[[#This Row],[Nr próbki]]/($G$1+1)</f>
        <v>0.49250749250749248</v>
      </c>
      <c r="H494" s="1">
        <f>(dane_7[[#This Row],[Logarytm naturalny]]-$I$2)/$J$2</f>
        <v>0.23944479430843668</v>
      </c>
      <c r="M494" s="1">
        <f t="shared" si="7"/>
        <v>0.59461965041925968</v>
      </c>
    </row>
    <row r="495" spans="1:13" x14ac:dyDescent="0.25">
      <c r="A495" s="1">
        <v>401.2</v>
      </c>
      <c r="B495" s="1">
        <v>401.2</v>
      </c>
      <c r="C495" s="1">
        <f>LN(dane_7[[#This Row],[Dane wejściowe posortowane]])</f>
        <v>5.9944600560877808</v>
      </c>
      <c r="D495" s="1">
        <v>494</v>
      </c>
      <c r="G495" s="1">
        <f>dane_7[[#This Row],[Nr próbki]]/($G$1+1)</f>
        <v>0.4935064935064935</v>
      </c>
      <c r="H495" s="1">
        <f>(dane_7[[#This Row],[Logarytm naturalny]]-$I$2)/$J$2</f>
        <v>0.23944479430843668</v>
      </c>
      <c r="M495" s="1">
        <f t="shared" si="7"/>
        <v>0.59461965041925968</v>
      </c>
    </row>
    <row r="496" spans="1:13" x14ac:dyDescent="0.25">
      <c r="A496" s="1">
        <v>401.2</v>
      </c>
      <c r="B496" s="1">
        <v>401.2</v>
      </c>
      <c r="C496" s="1">
        <f>LN(dane_7[[#This Row],[Dane wejściowe posortowane]])</f>
        <v>5.9944600560877808</v>
      </c>
      <c r="D496" s="1">
        <v>495</v>
      </c>
      <c r="G496" s="1">
        <f>dane_7[[#This Row],[Nr próbki]]/($G$1+1)</f>
        <v>0.49450549450549453</v>
      </c>
      <c r="H496" s="1">
        <f>(dane_7[[#This Row],[Logarytm naturalny]]-$I$2)/$J$2</f>
        <v>0.23944479430843668</v>
      </c>
      <c r="M496" s="1">
        <f t="shared" si="7"/>
        <v>0.59461965041925968</v>
      </c>
    </row>
    <row r="497" spans="1:13" x14ac:dyDescent="0.25">
      <c r="A497" s="1">
        <v>401.2</v>
      </c>
      <c r="B497" s="1">
        <v>401.2</v>
      </c>
      <c r="C497" s="1">
        <f>LN(dane_7[[#This Row],[Dane wejściowe posortowane]])</f>
        <v>5.9944600560877808</v>
      </c>
      <c r="D497" s="1">
        <v>496</v>
      </c>
      <c r="G497" s="1">
        <f>dane_7[[#This Row],[Nr próbki]]/($G$1+1)</f>
        <v>0.49550449550449549</v>
      </c>
      <c r="H497" s="1">
        <f>(dane_7[[#This Row],[Logarytm naturalny]]-$I$2)/$J$2</f>
        <v>0.23944479430843668</v>
      </c>
      <c r="M497" s="1">
        <f t="shared" si="7"/>
        <v>0.59461965041925968</v>
      </c>
    </row>
    <row r="498" spans="1:13" x14ac:dyDescent="0.25">
      <c r="A498" s="1">
        <v>401.2</v>
      </c>
      <c r="B498" s="1">
        <v>401.2</v>
      </c>
      <c r="C498" s="1">
        <f>LN(dane_7[[#This Row],[Dane wejściowe posortowane]])</f>
        <v>5.9944600560877808</v>
      </c>
      <c r="D498" s="1">
        <v>497</v>
      </c>
      <c r="G498" s="1">
        <f>dane_7[[#This Row],[Nr próbki]]/($G$1+1)</f>
        <v>0.49650349650349651</v>
      </c>
      <c r="H498" s="1">
        <f>(dane_7[[#This Row],[Logarytm naturalny]]-$I$2)/$J$2</f>
        <v>0.23944479430843668</v>
      </c>
      <c r="M498" s="1">
        <f t="shared" si="7"/>
        <v>0.59461965041925968</v>
      </c>
    </row>
    <row r="499" spans="1:13" x14ac:dyDescent="0.25">
      <c r="A499" s="1">
        <v>401.2</v>
      </c>
      <c r="B499" s="1">
        <v>401.2</v>
      </c>
      <c r="C499" s="1">
        <f>LN(dane_7[[#This Row],[Dane wejściowe posortowane]])</f>
        <v>5.9944600560877808</v>
      </c>
      <c r="D499" s="1">
        <v>498</v>
      </c>
      <c r="G499" s="1">
        <f>dane_7[[#This Row],[Nr próbki]]/($G$1+1)</f>
        <v>0.49750249750249748</v>
      </c>
      <c r="H499" s="1">
        <f>(dane_7[[#This Row],[Logarytm naturalny]]-$I$2)/$J$2</f>
        <v>0.23944479430843668</v>
      </c>
      <c r="M499" s="1">
        <f t="shared" si="7"/>
        <v>0.59461965041925968</v>
      </c>
    </row>
    <row r="500" spans="1:13" x14ac:dyDescent="0.25">
      <c r="A500" s="1">
        <v>401.2</v>
      </c>
      <c r="B500" s="1">
        <v>401.2</v>
      </c>
      <c r="C500" s="1">
        <f>LN(dane_7[[#This Row],[Dane wejściowe posortowane]])</f>
        <v>5.9944600560877808</v>
      </c>
      <c r="D500" s="1">
        <v>499</v>
      </c>
      <c r="G500" s="1">
        <f>dane_7[[#This Row],[Nr próbki]]/($G$1+1)</f>
        <v>0.4985014985014985</v>
      </c>
      <c r="H500" s="1">
        <f>(dane_7[[#This Row],[Logarytm naturalny]]-$I$2)/$J$2</f>
        <v>0.23944479430843668</v>
      </c>
      <c r="M500" s="1">
        <f t="shared" si="7"/>
        <v>0.59461965041925968</v>
      </c>
    </row>
    <row r="501" spans="1:13" x14ac:dyDescent="0.25">
      <c r="A501" s="1">
        <v>401.2</v>
      </c>
      <c r="B501" s="1">
        <v>401.2</v>
      </c>
      <c r="C501" s="1">
        <f>LN(dane_7[[#This Row],[Dane wejściowe posortowane]])</f>
        <v>5.9944600560877808</v>
      </c>
      <c r="D501" s="1">
        <v>500</v>
      </c>
      <c r="G501" s="1">
        <f>dane_7[[#This Row],[Nr próbki]]/($G$1+1)</f>
        <v>0.49950049950049952</v>
      </c>
      <c r="H501" s="1">
        <f>(dane_7[[#This Row],[Logarytm naturalny]]-$I$2)/$J$2</f>
        <v>0.23944479430843668</v>
      </c>
      <c r="M501" s="1">
        <f t="shared" si="7"/>
        <v>0.59461965041925968</v>
      </c>
    </row>
    <row r="502" spans="1:13" x14ac:dyDescent="0.25">
      <c r="A502" s="1">
        <v>401.2</v>
      </c>
      <c r="B502" s="1">
        <v>401.2</v>
      </c>
      <c r="C502" s="1">
        <f>LN(dane_7[[#This Row],[Dane wejściowe posortowane]])</f>
        <v>5.9944600560877808</v>
      </c>
      <c r="D502" s="1">
        <v>501</v>
      </c>
      <c r="G502" s="1">
        <f>dane_7[[#This Row],[Nr próbki]]/($G$1+1)</f>
        <v>0.50049950049950054</v>
      </c>
      <c r="H502" s="1">
        <f>(dane_7[[#This Row],[Logarytm naturalny]]-$I$2)/$J$2</f>
        <v>0.23944479430843668</v>
      </c>
      <c r="M502" s="1">
        <f t="shared" si="7"/>
        <v>0.59461965041925968</v>
      </c>
    </row>
    <row r="503" spans="1:13" x14ac:dyDescent="0.25">
      <c r="A503" s="1">
        <v>401.2</v>
      </c>
      <c r="B503" s="1">
        <v>401.2</v>
      </c>
      <c r="C503" s="1">
        <f>LN(dane_7[[#This Row],[Dane wejściowe posortowane]])</f>
        <v>5.9944600560877808</v>
      </c>
      <c r="D503" s="1">
        <v>502</v>
      </c>
      <c r="G503" s="1">
        <f>dane_7[[#This Row],[Nr próbki]]/($G$1+1)</f>
        <v>0.5014985014985015</v>
      </c>
      <c r="H503" s="1">
        <f>(dane_7[[#This Row],[Logarytm naturalny]]-$I$2)/$J$2</f>
        <v>0.23944479430843668</v>
      </c>
      <c r="M503" s="1">
        <f t="shared" si="7"/>
        <v>0.59461965041925968</v>
      </c>
    </row>
    <row r="504" spans="1:13" x14ac:dyDescent="0.25">
      <c r="A504" s="1">
        <v>401.2</v>
      </c>
      <c r="B504" s="1">
        <v>401.2</v>
      </c>
      <c r="C504" s="1">
        <f>LN(dane_7[[#This Row],[Dane wejściowe posortowane]])</f>
        <v>5.9944600560877808</v>
      </c>
      <c r="D504" s="1">
        <v>503</v>
      </c>
      <c r="G504" s="1">
        <f>dane_7[[#This Row],[Nr próbki]]/($G$1+1)</f>
        <v>0.50249750249750247</v>
      </c>
      <c r="H504" s="1">
        <f>(dane_7[[#This Row],[Logarytm naturalny]]-$I$2)/$J$2</f>
        <v>0.23944479430843668</v>
      </c>
      <c r="M504" s="1">
        <f t="shared" si="7"/>
        <v>0.59461965041925968</v>
      </c>
    </row>
    <row r="505" spans="1:13" x14ac:dyDescent="0.25">
      <c r="A505" s="1">
        <v>401.2</v>
      </c>
      <c r="B505" s="1">
        <v>401.2</v>
      </c>
      <c r="C505" s="1">
        <f>LN(dane_7[[#This Row],[Dane wejściowe posortowane]])</f>
        <v>5.9944600560877808</v>
      </c>
      <c r="D505" s="1">
        <v>504</v>
      </c>
      <c r="G505" s="1">
        <f>dane_7[[#This Row],[Nr próbki]]/($G$1+1)</f>
        <v>0.50349650349650354</v>
      </c>
      <c r="H505" s="1">
        <f>(dane_7[[#This Row],[Logarytm naturalny]]-$I$2)/$J$2</f>
        <v>0.23944479430843668</v>
      </c>
      <c r="M505" s="1">
        <f t="shared" si="7"/>
        <v>0.59461965041925968</v>
      </c>
    </row>
    <row r="506" spans="1:13" x14ac:dyDescent="0.25">
      <c r="A506" s="1">
        <v>401.2</v>
      </c>
      <c r="B506" s="1">
        <v>401.2</v>
      </c>
      <c r="C506" s="1">
        <f>LN(dane_7[[#This Row],[Dane wejściowe posortowane]])</f>
        <v>5.9944600560877808</v>
      </c>
      <c r="D506" s="1">
        <v>505</v>
      </c>
      <c r="G506" s="1">
        <f>dane_7[[#This Row],[Nr próbki]]/($G$1+1)</f>
        <v>0.50449550449550451</v>
      </c>
      <c r="H506" s="1">
        <f>(dane_7[[#This Row],[Logarytm naturalny]]-$I$2)/$J$2</f>
        <v>0.23944479430843668</v>
      </c>
      <c r="M506" s="1">
        <f t="shared" si="7"/>
        <v>0.59461965041925968</v>
      </c>
    </row>
    <row r="507" spans="1:13" x14ac:dyDescent="0.25">
      <c r="A507" s="1">
        <v>401.2</v>
      </c>
      <c r="B507" s="1">
        <v>401.2</v>
      </c>
      <c r="C507" s="1">
        <f>LN(dane_7[[#This Row],[Dane wejściowe posortowane]])</f>
        <v>5.9944600560877808</v>
      </c>
      <c r="D507" s="1">
        <v>506</v>
      </c>
      <c r="G507" s="1">
        <f>dane_7[[#This Row],[Nr próbki]]/($G$1+1)</f>
        <v>0.50549450549450547</v>
      </c>
      <c r="H507" s="1">
        <f>(dane_7[[#This Row],[Logarytm naturalny]]-$I$2)/$J$2</f>
        <v>0.23944479430843668</v>
      </c>
      <c r="M507" s="1">
        <f t="shared" si="7"/>
        <v>0.59461965041925968</v>
      </c>
    </row>
    <row r="508" spans="1:13" x14ac:dyDescent="0.25">
      <c r="A508" s="1">
        <v>401.2</v>
      </c>
      <c r="B508" s="1">
        <v>401.2</v>
      </c>
      <c r="C508" s="1">
        <f>LN(dane_7[[#This Row],[Dane wejściowe posortowane]])</f>
        <v>5.9944600560877808</v>
      </c>
      <c r="D508" s="1">
        <v>507</v>
      </c>
      <c r="G508" s="1">
        <f>dane_7[[#This Row],[Nr próbki]]/($G$1+1)</f>
        <v>0.50649350649350644</v>
      </c>
      <c r="H508" s="1">
        <f>(dane_7[[#This Row],[Logarytm naturalny]]-$I$2)/$J$2</f>
        <v>0.23944479430843668</v>
      </c>
      <c r="M508" s="1">
        <f t="shared" si="7"/>
        <v>0.59461965041925968</v>
      </c>
    </row>
    <row r="509" spans="1:13" x14ac:dyDescent="0.25">
      <c r="A509" s="1">
        <v>401.2</v>
      </c>
      <c r="B509" s="1">
        <v>401.2</v>
      </c>
      <c r="C509" s="1">
        <f>LN(dane_7[[#This Row],[Dane wejściowe posortowane]])</f>
        <v>5.9944600560877808</v>
      </c>
      <c r="D509" s="1">
        <v>508</v>
      </c>
      <c r="G509" s="1">
        <f>dane_7[[#This Row],[Nr próbki]]/($G$1+1)</f>
        <v>0.50749250749250752</v>
      </c>
      <c r="H509" s="1">
        <f>(dane_7[[#This Row],[Logarytm naturalny]]-$I$2)/$J$2</f>
        <v>0.23944479430843668</v>
      </c>
      <c r="M509" s="1">
        <f t="shared" si="7"/>
        <v>0.59461965041925968</v>
      </c>
    </row>
    <row r="510" spans="1:13" x14ac:dyDescent="0.25">
      <c r="A510" s="1">
        <v>401.2</v>
      </c>
      <c r="B510" s="1">
        <v>401.2</v>
      </c>
      <c r="C510" s="1">
        <f>LN(dane_7[[#This Row],[Dane wejściowe posortowane]])</f>
        <v>5.9944600560877808</v>
      </c>
      <c r="D510" s="1">
        <v>509</v>
      </c>
      <c r="G510" s="1">
        <f>dane_7[[#This Row],[Nr próbki]]/($G$1+1)</f>
        <v>0.50849150849150848</v>
      </c>
      <c r="H510" s="1">
        <f>(dane_7[[#This Row],[Logarytm naturalny]]-$I$2)/$J$2</f>
        <v>0.23944479430843668</v>
      </c>
      <c r="M510" s="1">
        <f t="shared" si="7"/>
        <v>0.59461965041925968</v>
      </c>
    </row>
    <row r="511" spans="1:13" x14ac:dyDescent="0.25">
      <c r="A511" s="1">
        <v>401.2</v>
      </c>
      <c r="B511" s="1">
        <v>401.2</v>
      </c>
      <c r="C511" s="1">
        <f>LN(dane_7[[#This Row],[Dane wejściowe posortowane]])</f>
        <v>5.9944600560877808</v>
      </c>
      <c r="D511" s="1">
        <v>510</v>
      </c>
      <c r="G511" s="1">
        <f>dane_7[[#This Row],[Nr próbki]]/($G$1+1)</f>
        <v>0.50949050949050945</v>
      </c>
      <c r="H511" s="1">
        <f>(dane_7[[#This Row],[Logarytm naturalny]]-$I$2)/$J$2</f>
        <v>0.23944479430843668</v>
      </c>
      <c r="M511" s="1">
        <f t="shared" si="7"/>
        <v>0.59461965041925968</v>
      </c>
    </row>
    <row r="512" spans="1:13" x14ac:dyDescent="0.25">
      <c r="A512" s="1">
        <v>401.3</v>
      </c>
      <c r="B512" s="1">
        <v>401.3</v>
      </c>
      <c r="C512" s="1">
        <f>LN(dane_7[[#This Row],[Dane wejściowe posortowane]])</f>
        <v>5.9947092772728707</v>
      </c>
      <c r="D512" s="1">
        <v>511</v>
      </c>
      <c r="G512" s="1">
        <f>dane_7[[#This Row],[Nr próbki]]/($G$1+1)</f>
        <v>0.51048951048951052</v>
      </c>
      <c r="H512" s="1">
        <f>(dane_7[[#This Row],[Logarytm naturalny]]-$I$2)/$J$2</f>
        <v>0.27376312267670944</v>
      </c>
      <c r="M512" s="1">
        <f t="shared" si="7"/>
        <v>0.60786666743895545</v>
      </c>
    </row>
    <row r="513" spans="1:13" x14ac:dyDescent="0.25">
      <c r="A513" s="1">
        <v>401.3</v>
      </c>
      <c r="B513" s="1">
        <v>401.3</v>
      </c>
      <c r="C513" s="1">
        <f>LN(dane_7[[#This Row],[Dane wejściowe posortowane]])</f>
        <v>5.9947092772728707</v>
      </c>
      <c r="D513" s="1">
        <v>512</v>
      </c>
      <c r="G513" s="1">
        <f>dane_7[[#This Row],[Nr próbki]]/($G$1+1)</f>
        <v>0.51148851148851149</v>
      </c>
      <c r="H513" s="1">
        <f>(dane_7[[#This Row],[Logarytm naturalny]]-$I$2)/$J$2</f>
        <v>0.27376312267670944</v>
      </c>
      <c r="M513" s="1">
        <f t="shared" si="7"/>
        <v>0.60786666743895545</v>
      </c>
    </row>
    <row r="514" spans="1:13" x14ac:dyDescent="0.25">
      <c r="A514" s="1">
        <v>401.3</v>
      </c>
      <c r="B514" s="1">
        <v>401.3</v>
      </c>
      <c r="C514" s="1">
        <f>LN(dane_7[[#This Row],[Dane wejściowe posortowane]])</f>
        <v>5.9947092772728707</v>
      </c>
      <c r="D514" s="1">
        <v>513</v>
      </c>
      <c r="G514" s="1">
        <f>dane_7[[#This Row],[Nr próbki]]/($G$1+1)</f>
        <v>0.51248751248751245</v>
      </c>
      <c r="H514" s="1">
        <f>(dane_7[[#This Row],[Logarytm naturalny]]-$I$2)/$J$2</f>
        <v>0.27376312267670944</v>
      </c>
      <c r="M514" s="1">
        <f t="shared" si="7"/>
        <v>0.60786666743895545</v>
      </c>
    </row>
    <row r="515" spans="1:13" x14ac:dyDescent="0.25">
      <c r="A515" s="1">
        <v>401.3</v>
      </c>
      <c r="B515" s="1">
        <v>401.3</v>
      </c>
      <c r="C515" s="1">
        <f>LN(dane_7[[#This Row],[Dane wejściowe posortowane]])</f>
        <v>5.9947092772728707</v>
      </c>
      <c r="D515" s="1">
        <v>514</v>
      </c>
      <c r="G515" s="1">
        <f>dane_7[[#This Row],[Nr próbki]]/($G$1+1)</f>
        <v>0.51348651348651353</v>
      </c>
      <c r="H515" s="1">
        <f>(dane_7[[#This Row],[Logarytm naturalny]]-$I$2)/$J$2</f>
        <v>0.27376312267670944</v>
      </c>
      <c r="M515" s="1">
        <f t="shared" ref="M515:M578" si="8">LOGNORMDIST(B515:B1514,$I$2,$J$2)</f>
        <v>0.60786666743895545</v>
      </c>
    </row>
    <row r="516" spans="1:13" x14ac:dyDescent="0.25">
      <c r="A516" s="1">
        <v>401.3</v>
      </c>
      <c r="B516" s="1">
        <v>401.3</v>
      </c>
      <c r="C516" s="1">
        <f>LN(dane_7[[#This Row],[Dane wejściowe posortowane]])</f>
        <v>5.9947092772728707</v>
      </c>
      <c r="D516" s="1">
        <v>515</v>
      </c>
      <c r="G516" s="1">
        <f>dane_7[[#This Row],[Nr próbki]]/($G$1+1)</f>
        <v>0.51448551448551449</v>
      </c>
      <c r="H516" s="1">
        <f>(dane_7[[#This Row],[Logarytm naturalny]]-$I$2)/$J$2</f>
        <v>0.27376312267670944</v>
      </c>
      <c r="M516" s="1">
        <f t="shared" si="8"/>
        <v>0.60786666743895545</v>
      </c>
    </row>
    <row r="517" spans="1:13" x14ac:dyDescent="0.25">
      <c r="A517" s="1">
        <v>401.3</v>
      </c>
      <c r="B517" s="1">
        <v>401.3</v>
      </c>
      <c r="C517" s="1">
        <f>LN(dane_7[[#This Row],[Dane wejściowe posortowane]])</f>
        <v>5.9947092772728707</v>
      </c>
      <c r="D517" s="1">
        <v>516</v>
      </c>
      <c r="G517" s="1">
        <f>dane_7[[#This Row],[Nr próbki]]/($G$1+1)</f>
        <v>0.51548451548451546</v>
      </c>
      <c r="H517" s="1">
        <f>(dane_7[[#This Row],[Logarytm naturalny]]-$I$2)/$J$2</f>
        <v>0.27376312267670944</v>
      </c>
      <c r="M517" s="1">
        <f t="shared" si="8"/>
        <v>0.60786666743895545</v>
      </c>
    </row>
    <row r="518" spans="1:13" x14ac:dyDescent="0.25">
      <c r="A518" s="1">
        <v>401.3</v>
      </c>
      <c r="B518" s="1">
        <v>401.3</v>
      </c>
      <c r="C518" s="1">
        <f>LN(dane_7[[#This Row],[Dane wejściowe posortowane]])</f>
        <v>5.9947092772728707</v>
      </c>
      <c r="D518" s="1">
        <v>517</v>
      </c>
      <c r="G518" s="1">
        <f>dane_7[[#This Row],[Nr próbki]]/($G$1+1)</f>
        <v>0.51648351648351654</v>
      </c>
      <c r="H518" s="1">
        <f>(dane_7[[#This Row],[Logarytm naturalny]]-$I$2)/$J$2</f>
        <v>0.27376312267670944</v>
      </c>
      <c r="M518" s="1">
        <f t="shared" si="8"/>
        <v>0.60786666743895545</v>
      </c>
    </row>
    <row r="519" spans="1:13" x14ac:dyDescent="0.25">
      <c r="A519" s="1">
        <v>401.3</v>
      </c>
      <c r="B519" s="1">
        <v>401.3</v>
      </c>
      <c r="C519" s="1">
        <f>LN(dane_7[[#This Row],[Dane wejściowe posortowane]])</f>
        <v>5.9947092772728707</v>
      </c>
      <c r="D519" s="1">
        <v>518</v>
      </c>
      <c r="G519" s="1">
        <f>dane_7[[#This Row],[Nr próbki]]/($G$1+1)</f>
        <v>0.5174825174825175</v>
      </c>
      <c r="H519" s="1">
        <f>(dane_7[[#This Row],[Logarytm naturalny]]-$I$2)/$J$2</f>
        <v>0.27376312267670944</v>
      </c>
      <c r="M519" s="1">
        <f t="shared" si="8"/>
        <v>0.60786666743895545</v>
      </c>
    </row>
    <row r="520" spans="1:13" x14ac:dyDescent="0.25">
      <c r="A520" s="1">
        <v>401.3</v>
      </c>
      <c r="B520" s="1">
        <v>401.3</v>
      </c>
      <c r="C520" s="1">
        <f>LN(dane_7[[#This Row],[Dane wejściowe posortowane]])</f>
        <v>5.9947092772728707</v>
      </c>
      <c r="D520" s="1">
        <v>519</v>
      </c>
      <c r="G520" s="1">
        <f>dane_7[[#This Row],[Nr próbki]]/($G$1+1)</f>
        <v>0.51848151848151847</v>
      </c>
      <c r="H520" s="1">
        <f>(dane_7[[#This Row],[Logarytm naturalny]]-$I$2)/$J$2</f>
        <v>0.27376312267670944</v>
      </c>
      <c r="M520" s="1">
        <f t="shared" si="8"/>
        <v>0.60786666743895545</v>
      </c>
    </row>
    <row r="521" spans="1:13" x14ac:dyDescent="0.25">
      <c r="A521" s="1">
        <v>401.3</v>
      </c>
      <c r="B521" s="1">
        <v>401.3</v>
      </c>
      <c r="C521" s="1">
        <f>LN(dane_7[[#This Row],[Dane wejściowe posortowane]])</f>
        <v>5.9947092772728707</v>
      </c>
      <c r="D521" s="1">
        <v>520</v>
      </c>
      <c r="G521" s="1">
        <f>dane_7[[#This Row],[Nr próbki]]/($G$1+1)</f>
        <v>0.51948051948051943</v>
      </c>
      <c r="H521" s="1">
        <f>(dane_7[[#This Row],[Logarytm naturalny]]-$I$2)/$J$2</f>
        <v>0.27376312267670944</v>
      </c>
      <c r="M521" s="1">
        <f t="shared" si="8"/>
        <v>0.60786666743895545</v>
      </c>
    </row>
    <row r="522" spans="1:13" x14ac:dyDescent="0.25">
      <c r="A522" s="1">
        <v>401.3</v>
      </c>
      <c r="B522" s="1">
        <v>401.3</v>
      </c>
      <c r="C522" s="1">
        <f>LN(dane_7[[#This Row],[Dane wejściowe posortowane]])</f>
        <v>5.9947092772728707</v>
      </c>
      <c r="D522" s="1">
        <v>521</v>
      </c>
      <c r="G522" s="1">
        <f>dane_7[[#This Row],[Nr próbki]]/($G$1+1)</f>
        <v>0.52047952047952051</v>
      </c>
      <c r="H522" s="1">
        <f>(dane_7[[#This Row],[Logarytm naturalny]]-$I$2)/$J$2</f>
        <v>0.27376312267670944</v>
      </c>
      <c r="M522" s="1">
        <f t="shared" si="8"/>
        <v>0.60786666743895545</v>
      </c>
    </row>
    <row r="523" spans="1:13" x14ac:dyDescent="0.25">
      <c r="A523" s="1">
        <v>401.3</v>
      </c>
      <c r="B523" s="1">
        <v>401.3</v>
      </c>
      <c r="C523" s="1">
        <f>LN(dane_7[[#This Row],[Dane wejściowe posortowane]])</f>
        <v>5.9947092772728707</v>
      </c>
      <c r="D523" s="1">
        <v>522</v>
      </c>
      <c r="G523" s="1">
        <f>dane_7[[#This Row],[Nr próbki]]/($G$1+1)</f>
        <v>0.52147852147852147</v>
      </c>
      <c r="H523" s="1">
        <f>(dane_7[[#This Row],[Logarytm naturalny]]-$I$2)/$J$2</f>
        <v>0.27376312267670944</v>
      </c>
      <c r="M523" s="1">
        <f t="shared" si="8"/>
        <v>0.60786666743895545</v>
      </c>
    </row>
    <row r="524" spans="1:13" x14ac:dyDescent="0.25">
      <c r="A524" s="1">
        <v>401.3</v>
      </c>
      <c r="B524" s="1">
        <v>401.3</v>
      </c>
      <c r="C524" s="1">
        <f>LN(dane_7[[#This Row],[Dane wejściowe posortowane]])</f>
        <v>5.9947092772728707</v>
      </c>
      <c r="D524" s="1">
        <v>523</v>
      </c>
      <c r="G524" s="1">
        <f>dane_7[[#This Row],[Nr próbki]]/($G$1+1)</f>
        <v>0.52247752247752244</v>
      </c>
      <c r="H524" s="1">
        <f>(dane_7[[#This Row],[Logarytm naturalny]]-$I$2)/$J$2</f>
        <v>0.27376312267670944</v>
      </c>
      <c r="M524" s="1">
        <f t="shared" si="8"/>
        <v>0.60786666743895545</v>
      </c>
    </row>
    <row r="525" spans="1:13" x14ac:dyDescent="0.25">
      <c r="A525" s="1">
        <v>401.3</v>
      </c>
      <c r="B525" s="1">
        <v>401.3</v>
      </c>
      <c r="C525" s="1">
        <f>LN(dane_7[[#This Row],[Dane wejściowe posortowane]])</f>
        <v>5.9947092772728707</v>
      </c>
      <c r="D525" s="1">
        <v>524</v>
      </c>
      <c r="G525" s="1">
        <f>dane_7[[#This Row],[Nr próbki]]/($G$1+1)</f>
        <v>0.52347652347652351</v>
      </c>
      <c r="H525" s="1">
        <f>(dane_7[[#This Row],[Logarytm naturalny]]-$I$2)/$J$2</f>
        <v>0.27376312267670944</v>
      </c>
      <c r="M525" s="1">
        <f t="shared" si="8"/>
        <v>0.60786666743895545</v>
      </c>
    </row>
    <row r="526" spans="1:13" x14ac:dyDescent="0.25">
      <c r="A526" s="1">
        <v>401.3</v>
      </c>
      <c r="B526" s="1">
        <v>401.3</v>
      </c>
      <c r="C526" s="1">
        <f>LN(dane_7[[#This Row],[Dane wejściowe posortowane]])</f>
        <v>5.9947092772728707</v>
      </c>
      <c r="D526" s="1">
        <v>525</v>
      </c>
      <c r="G526" s="1">
        <f>dane_7[[#This Row],[Nr próbki]]/($G$1+1)</f>
        <v>0.52447552447552448</v>
      </c>
      <c r="H526" s="1">
        <f>(dane_7[[#This Row],[Logarytm naturalny]]-$I$2)/$J$2</f>
        <v>0.27376312267670944</v>
      </c>
      <c r="M526" s="1">
        <f t="shared" si="8"/>
        <v>0.60786666743895545</v>
      </c>
    </row>
    <row r="527" spans="1:13" x14ac:dyDescent="0.25">
      <c r="A527" s="1">
        <v>401.3</v>
      </c>
      <c r="B527" s="1">
        <v>401.3</v>
      </c>
      <c r="C527" s="1">
        <f>LN(dane_7[[#This Row],[Dane wejściowe posortowane]])</f>
        <v>5.9947092772728707</v>
      </c>
      <c r="D527" s="1">
        <v>526</v>
      </c>
      <c r="G527" s="1">
        <f>dane_7[[#This Row],[Nr próbki]]/($G$1+1)</f>
        <v>0.52547452547452544</v>
      </c>
      <c r="H527" s="1">
        <f>(dane_7[[#This Row],[Logarytm naturalny]]-$I$2)/$J$2</f>
        <v>0.27376312267670944</v>
      </c>
      <c r="M527" s="1">
        <f t="shared" si="8"/>
        <v>0.60786666743895545</v>
      </c>
    </row>
    <row r="528" spans="1:13" x14ac:dyDescent="0.25">
      <c r="A528" s="1">
        <v>401.3</v>
      </c>
      <c r="B528" s="1">
        <v>401.3</v>
      </c>
      <c r="C528" s="1">
        <f>LN(dane_7[[#This Row],[Dane wejściowe posortowane]])</f>
        <v>5.9947092772728707</v>
      </c>
      <c r="D528" s="1">
        <v>527</v>
      </c>
      <c r="G528" s="1">
        <f>dane_7[[#This Row],[Nr próbki]]/($G$1+1)</f>
        <v>0.52647352647352652</v>
      </c>
      <c r="H528" s="1">
        <f>(dane_7[[#This Row],[Logarytm naturalny]]-$I$2)/$J$2</f>
        <v>0.27376312267670944</v>
      </c>
      <c r="M528" s="1">
        <f t="shared" si="8"/>
        <v>0.60786666743895545</v>
      </c>
    </row>
    <row r="529" spans="1:13" x14ac:dyDescent="0.25">
      <c r="A529" s="1">
        <v>401.3</v>
      </c>
      <c r="B529" s="1">
        <v>401.3</v>
      </c>
      <c r="C529" s="1">
        <f>LN(dane_7[[#This Row],[Dane wejściowe posortowane]])</f>
        <v>5.9947092772728707</v>
      </c>
      <c r="D529" s="1">
        <v>528</v>
      </c>
      <c r="G529" s="1">
        <f>dane_7[[#This Row],[Nr próbki]]/($G$1+1)</f>
        <v>0.52747252747252749</v>
      </c>
      <c r="H529" s="1">
        <f>(dane_7[[#This Row],[Logarytm naturalny]]-$I$2)/$J$2</f>
        <v>0.27376312267670944</v>
      </c>
      <c r="M529" s="1">
        <f t="shared" si="8"/>
        <v>0.60786666743895545</v>
      </c>
    </row>
    <row r="530" spans="1:13" x14ac:dyDescent="0.25">
      <c r="A530" s="1">
        <v>401.3</v>
      </c>
      <c r="B530" s="1">
        <v>401.3</v>
      </c>
      <c r="C530" s="1">
        <f>LN(dane_7[[#This Row],[Dane wejściowe posortowane]])</f>
        <v>5.9947092772728707</v>
      </c>
      <c r="D530" s="1">
        <v>529</v>
      </c>
      <c r="G530" s="1">
        <f>dane_7[[#This Row],[Nr próbki]]/($G$1+1)</f>
        <v>0.52847152847152845</v>
      </c>
      <c r="H530" s="1">
        <f>(dane_7[[#This Row],[Logarytm naturalny]]-$I$2)/$J$2</f>
        <v>0.27376312267670944</v>
      </c>
      <c r="M530" s="1">
        <f t="shared" si="8"/>
        <v>0.60786666743895545</v>
      </c>
    </row>
    <row r="531" spans="1:13" x14ac:dyDescent="0.25">
      <c r="A531" s="1">
        <v>401.3</v>
      </c>
      <c r="B531" s="1">
        <v>401.3</v>
      </c>
      <c r="C531" s="1">
        <f>LN(dane_7[[#This Row],[Dane wejściowe posortowane]])</f>
        <v>5.9947092772728707</v>
      </c>
      <c r="D531" s="1">
        <v>530</v>
      </c>
      <c r="G531" s="1">
        <f>dane_7[[#This Row],[Nr próbki]]/($G$1+1)</f>
        <v>0.52947052947052942</v>
      </c>
      <c r="H531" s="1">
        <f>(dane_7[[#This Row],[Logarytm naturalny]]-$I$2)/$J$2</f>
        <v>0.27376312267670944</v>
      </c>
      <c r="M531" s="1">
        <f t="shared" si="8"/>
        <v>0.60786666743895545</v>
      </c>
    </row>
    <row r="532" spans="1:13" x14ac:dyDescent="0.25">
      <c r="A532" s="1">
        <v>401.3</v>
      </c>
      <c r="B532" s="1">
        <v>401.3</v>
      </c>
      <c r="C532" s="1">
        <f>LN(dane_7[[#This Row],[Dane wejściowe posortowane]])</f>
        <v>5.9947092772728707</v>
      </c>
      <c r="D532" s="1">
        <v>531</v>
      </c>
      <c r="G532" s="1">
        <f>dane_7[[#This Row],[Nr próbki]]/($G$1+1)</f>
        <v>0.53046953046953049</v>
      </c>
      <c r="H532" s="1">
        <f>(dane_7[[#This Row],[Logarytm naturalny]]-$I$2)/$J$2</f>
        <v>0.27376312267670944</v>
      </c>
      <c r="M532" s="1">
        <f t="shared" si="8"/>
        <v>0.60786666743895545</v>
      </c>
    </row>
    <row r="533" spans="1:13" x14ac:dyDescent="0.25">
      <c r="A533" s="1">
        <v>401.3</v>
      </c>
      <c r="B533" s="1">
        <v>401.3</v>
      </c>
      <c r="C533" s="1">
        <f>LN(dane_7[[#This Row],[Dane wejściowe posortowane]])</f>
        <v>5.9947092772728707</v>
      </c>
      <c r="D533" s="1">
        <v>532</v>
      </c>
      <c r="G533" s="1">
        <f>dane_7[[#This Row],[Nr próbki]]/($G$1+1)</f>
        <v>0.53146853146853146</v>
      </c>
      <c r="H533" s="1">
        <f>(dane_7[[#This Row],[Logarytm naturalny]]-$I$2)/$J$2</f>
        <v>0.27376312267670944</v>
      </c>
      <c r="M533" s="1">
        <f t="shared" si="8"/>
        <v>0.60786666743895545</v>
      </c>
    </row>
    <row r="534" spans="1:13" x14ac:dyDescent="0.25">
      <c r="A534" s="1">
        <v>401.3</v>
      </c>
      <c r="B534" s="1">
        <v>401.3</v>
      </c>
      <c r="C534" s="1">
        <f>LN(dane_7[[#This Row],[Dane wejściowe posortowane]])</f>
        <v>5.9947092772728707</v>
      </c>
      <c r="D534" s="1">
        <v>533</v>
      </c>
      <c r="G534" s="1">
        <f>dane_7[[#This Row],[Nr próbki]]/($G$1+1)</f>
        <v>0.53246753246753242</v>
      </c>
      <c r="H534" s="1">
        <f>(dane_7[[#This Row],[Logarytm naturalny]]-$I$2)/$J$2</f>
        <v>0.27376312267670944</v>
      </c>
      <c r="M534" s="1">
        <f t="shared" si="8"/>
        <v>0.60786666743895545</v>
      </c>
    </row>
    <row r="535" spans="1:13" x14ac:dyDescent="0.25">
      <c r="A535" s="1">
        <v>401.3</v>
      </c>
      <c r="B535" s="1">
        <v>401.3</v>
      </c>
      <c r="C535" s="1">
        <f>LN(dane_7[[#This Row],[Dane wejściowe posortowane]])</f>
        <v>5.9947092772728707</v>
      </c>
      <c r="D535" s="1">
        <v>534</v>
      </c>
      <c r="G535" s="1">
        <f>dane_7[[#This Row],[Nr próbki]]/($G$1+1)</f>
        <v>0.5334665334665335</v>
      </c>
      <c r="H535" s="1">
        <f>(dane_7[[#This Row],[Logarytm naturalny]]-$I$2)/$J$2</f>
        <v>0.27376312267670944</v>
      </c>
      <c r="M535" s="1">
        <f t="shared" si="8"/>
        <v>0.60786666743895545</v>
      </c>
    </row>
    <row r="536" spans="1:13" x14ac:dyDescent="0.25">
      <c r="A536" s="1">
        <v>401.3</v>
      </c>
      <c r="B536" s="1">
        <v>401.3</v>
      </c>
      <c r="C536" s="1">
        <f>LN(dane_7[[#This Row],[Dane wejściowe posortowane]])</f>
        <v>5.9947092772728707</v>
      </c>
      <c r="D536" s="1">
        <v>535</v>
      </c>
      <c r="G536" s="1">
        <f>dane_7[[#This Row],[Nr próbki]]/($G$1+1)</f>
        <v>0.53446553446553446</v>
      </c>
      <c r="H536" s="1">
        <f>(dane_7[[#This Row],[Logarytm naturalny]]-$I$2)/$J$2</f>
        <v>0.27376312267670944</v>
      </c>
      <c r="M536" s="1">
        <f t="shared" si="8"/>
        <v>0.60786666743895545</v>
      </c>
    </row>
    <row r="537" spans="1:13" x14ac:dyDescent="0.25">
      <c r="A537" s="1">
        <v>401.4</v>
      </c>
      <c r="B537" s="1">
        <v>401.4</v>
      </c>
      <c r="C537" s="1">
        <f>LN(dane_7[[#This Row],[Dane wejściowe posortowane]])</f>
        <v>5.9949584363622375</v>
      </c>
      <c r="D537" s="1">
        <v>536</v>
      </c>
      <c r="G537" s="1">
        <f>dane_7[[#This Row],[Nr próbki]]/($G$1+1)</f>
        <v>0.53546453546453543</v>
      </c>
      <c r="H537" s="1">
        <f>(dane_7[[#This Row],[Logarytm naturalny]]-$I$2)/$J$2</f>
        <v>0.30807290032157836</v>
      </c>
      <c r="M537" s="1">
        <f t="shared" si="8"/>
        <v>0.62098656927818918</v>
      </c>
    </row>
    <row r="538" spans="1:13" x14ac:dyDescent="0.25">
      <c r="A538" s="1">
        <v>401.4</v>
      </c>
      <c r="B538" s="1">
        <v>401.4</v>
      </c>
      <c r="C538" s="1">
        <f>LN(dane_7[[#This Row],[Dane wejściowe posortowane]])</f>
        <v>5.9949584363622375</v>
      </c>
      <c r="D538" s="1">
        <v>537</v>
      </c>
      <c r="G538" s="1">
        <f>dane_7[[#This Row],[Nr próbki]]/($G$1+1)</f>
        <v>0.53646353646353651</v>
      </c>
      <c r="H538" s="1">
        <f>(dane_7[[#This Row],[Logarytm naturalny]]-$I$2)/$J$2</f>
        <v>0.30807290032157836</v>
      </c>
      <c r="M538" s="1">
        <f t="shared" si="8"/>
        <v>0.62098656927818918</v>
      </c>
    </row>
    <row r="539" spans="1:13" x14ac:dyDescent="0.25">
      <c r="A539" s="1">
        <v>401.4</v>
      </c>
      <c r="B539" s="1">
        <v>401.4</v>
      </c>
      <c r="C539" s="1">
        <f>LN(dane_7[[#This Row],[Dane wejściowe posortowane]])</f>
        <v>5.9949584363622375</v>
      </c>
      <c r="D539" s="1">
        <v>538</v>
      </c>
      <c r="G539" s="1">
        <f>dane_7[[#This Row],[Nr próbki]]/($G$1+1)</f>
        <v>0.53746253746253747</v>
      </c>
      <c r="H539" s="1">
        <f>(dane_7[[#This Row],[Logarytm naturalny]]-$I$2)/$J$2</f>
        <v>0.30807290032157836</v>
      </c>
      <c r="M539" s="1">
        <f t="shared" si="8"/>
        <v>0.62098656927818918</v>
      </c>
    </row>
    <row r="540" spans="1:13" x14ac:dyDescent="0.25">
      <c r="A540" s="1">
        <v>401.4</v>
      </c>
      <c r="B540" s="1">
        <v>401.4</v>
      </c>
      <c r="C540" s="1">
        <f>LN(dane_7[[#This Row],[Dane wejściowe posortowane]])</f>
        <v>5.9949584363622375</v>
      </c>
      <c r="D540" s="1">
        <v>539</v>
      </c>
      <c r="G540" s="1">
        <f>dane_7[[#This Row],[Nr próbki]]/($G$1+1)</f>
        <v>0.53846153846153844</v>
      </c>
      <c r="H540" s="1">
        <f>(dane_7[[#This Row],[Logarytm naturalny]]-$I$2)/$J$2</f>
        <v>0.30807290032157836</v>
      </c>
      <c r="M540" s="1">
        <f t="shared" si="8"/>
        <v>0.62098656927818918</v>
      </c>
    </row>
    <row r="541" spans="1:13" x14ac:dyDescent="0.25">
      <c r="A541" s="1">
        <v>401.4</v>
      </c>
      <c r="B541" s="1">
        <v>401.4</v>
      </c>
      <c r="C541" s="1">
        <f>LN(dane_7[[#This Row],[Dane wejściowe posortowane]])</f>
        <v>5.9949584363622375</v>
      </c>
      <c r="D541" s="1">
        <v>540</v>
      </c>
      <c r="G541" s="1">
        <f>dane_7[[#This Row],[Nr próbki]]/($G$1+1)</f>
        <v>0.53946053946053951</v>
      </c>
      <c r="H541" s="1">
        <f>(dane_7[[#This Row],[Logarytm naturalny]]-$I$2)/$J$2</f>
        <v>0.30807290032157836</v>
      </c>
      <c r="M541" s="1">
        <f t="shared" si="8"/>
        <v>0.62098656927818918</v>
      </c>
    </row>
    <row r="542" spans="1:13" x14ac:dyDescent="0.25">
      <c r="A542" s="1">
        <v>401.4</v>
      </c>
      <c r="B542" s="1">
        <v>401.4</v>
      </c>
      <c r="C542" s="1">
        <f>LN(dane_7[[#This Row],[Dane wejściowe posortowane]])</f>
        <v>5.9949584363622375</v>
      </c>
      <c r="D542" s="1">
        <v>541</v>
      </c>
      <c r="G542" s="1">
        <f>dane_7[[#This Row],[Nr próbki]]/($G$1+1)</f>
        <v>0.54045954045954048</v>
      </c>
      <c r="H542" s="1">
        <f>(dane_7[[#This Row],[Logarytm naturalny]]-$I$2)/$J$2</f>
        <v>0.30807290032157836</v>
      </c>
      <c r="M542" s="1">
        <f t="shared" si="8"/>
        <v>0.62098656927818918</v>
      </c>
    </row>
    <row r="543" spans="1:13" x14ac:dyDescent="0.25">
      <c r="A543" s="1">
        <v>401.4</v>
      </c>
      <c r="B543" s="1">
        <v>401.4</v>
      </c>
      <c r="C543" s="1">
        <f>LN(dane_7[[#This Row],[Dane wejściowe posortowane]])</f>
        <v>5.9949584363622375</v>
      </c>
      <c r="D543" s="1">
        <v>542</v>
      </c>
      <c r="G543" s="1">
        <f>dane_7[[#This Row],[Nr próbki]]/($G$1+1)</f>
        <v>0.54145854145854144</v>
      </c>
      <c r="H543" s="1">
        <f>(dane_7[[#This Row],[Logarytm naturalny]]-$I$2)/$J$2</f>
        <v>0.30807290032157836</v>
      </c>
      <c r="M543" s="1">
        <f t="shared" si="8"/>
        <v>0.62098656927818918</v>
      </c>
    </row>
    <row r="544" spans="1:13" x14ac:dyDescent="0.25">
      <c r="A544" s="1">
        <v>401.4</v>
      </c>
      <c r="B544" s="1">
        <v>401.4</v>
      </c>
      <c r="C544" s="1">
        <f>LN(dane_7[[#This Row],[Dane wejściowe posortowane]])</f>
        <v>5.9949584363622375</v>
      </c>
      <c r="D544" s="1">
        <v>543</v>
      </c>
      <c r="G544" s="1">
        <f>dane_7[[#This Row],[Nr próbki]]/($G$1+1)</f>
        <v>0.54245754245754241</v>
      </c>
      <c r="H544" s="1">
        <f>(dane_7[[#This Row],[Logarytm naturalny]]-$I$2)/$J$2</f>
        <v>0.30807290032157836</v>
      </c>
      <c r="M544" s="1">
        <f t="shared" si="8"/>
        <v>0.62098656927818918</v>
      </c>
    </row>
    <row r="545" spans="1:13" x14ac:dyDescent="0.25">
      <c r="A545" s="1">
        <v>401.4</v>
      </c>
      <c r="B545" s="1">
        <v>401.4</v>
      </c>
      <c r="C545" s="1">
        <f>LN(dane_7[[#This Row],[Dane wejściowe posortowane]])</f>
        <v>5.9949584363622375</v>
      </c>
      <c r="D545" s="1">
        <v>544</v>
      </c>
      <c r="G545" s="1">
        <f>dane_7[[#This Row],[Nr próbki]]/($G$1+1)</f>
        <v>0.54345654345654348</v>
      </c>
      <c r="H545" s="1">
        <f>(dane_7[[#This Row],[Logarytm naturalny]]-$I$2)/$J$2</f>
        <v>0.30807290032157836</v>
      </c>
      <c r="M545" s="1">
        <f t="shared" si="8"/>
        <v>0.62098656927818918</v>
      </c>
    </row>
    <row r="546" spans="1:13" x14ac:dyDescent="0.25">
      <c r="A546" s="1">
        <v>401.4</v>
      </c>
      <c r="B546" s="1">
        <v>401.4</v>
      </c>
      <c r="C546" s="1">
        <f>LN(dane_7[[#This Row],[Dane wejściowe posortowane]])</f>
        <v>5.9949584363622375</v>
      </c>
      <c r="D546" s="1">
        <v>545</v>
      </c>
      <c r="G546" s="1">
        <f>dane_7[[#This Row],[Nr próbki]]/($G$1+1)</f>
        <v>0.54445554445554445</v>
      </c>
      <c r="H546" s="1">
        <f>(dane_7[[#This Row],[Logarytm naturalny]]-$I$2)/$J$2</f>
        <v>0.30807290032157836</v>
      </c>
      <c r="M546" s="1">
        <f t="shared" si="8"/>
        <v>0.62098656927818918</v>
      </c>
    </row>
    <row r="547" spans="1:13" x14ac:dyDescent="0.25">
      <c r="A547" s="1">
        <v>401.4</v>
      </c>
      <c r="B547" s="1">
        <v>401.4</v>
      </c>
      <c r="C547" s="1">
        <f>LN(dane_7[[#This Row],[Dane wejściowe posortowane]])</f>
        <v>5.9949584363622375</v>
      </c>
      <c r="D547" s="1">
        <v>546</v>
      </c>
      <c r="G547" s="1">
        <f>dane_7[[#This Row],[Nr próbki]]/($G$1+1)</f>
        <v>0.54545454545454541</v>
      </c>
      <c r="H547" s="1">
        <f>(dane_7[[#This Row],[Logarytm naturalny]]-$I$2)/$J$2</f>
        <v>0.30807290032157836</v>
      </c>
      <c r="M547" s="1">
        <f t="shared" si="8"/>
        <v>0.62098656927818918</v>
      </c>
    </row>
    <row r="548" spans="1:13" x14ac:dyDescent="0.25">
      <c r="A548" s="1">
        <v>401.4</v>
      </c>
      <c r="B548" s="1">
        <v>401.4</v>
      </c>
      <c r="C548" s="1">
        <f>LN(dane_7[[#This Row],[Dane wejściowe posortowane]])</f>
        <v>5.9949584363622375</v>
      </c>
      <c r="D548" s="1">
        <v>547</v>
      </c>
      <c r="G548" s="1">
        <f>dane_7[[#This Row],[Nr próbki]]/($G$1+1)</f>
        <v>0.54645354645354649</v>
      </c>
      <c r="H548" s="1">
        <f>(dane_7[[#This Row],[Logarytm naturalny]]-$I$2)/$J$2</f>
        <v>0.30807290032157836</v>
      </c>
      <c r="M548" s="1">
        <f t="shared" si="8"/>
        <v>0.62098656927818918</v>
      </c>
    </row>
    <row r="549" spans="1:13" x14ac:dyDescent="0.25">
      <c r="A549" s="1">
        <v>401.4</v>
      </c>
      <c r="B549" s="1">
        <v>401.4</v>
      </c>
      <c r="C549" s="1">
        <f>LN(dane_7[[#This Row],[Dane wejściowe posortowane]])</f>
        <v>5.9949584363622375</v>
      </c>
      <c r="D549" s="1">
        <v>548</v>
      </c>
      <c r="G549" s="1">
        <f>dane_7[[#This Row],[Nr próbki]]/($G$1+1)</f>
        <v>0.54745254745254746</v>
      </c>
      <c r="H549" s="1">
        <f>(dane_7[[#This Row],[Logarytm naturalny]]-$I$2)/$J$2</f>
        <v>0.30807290032157836</v>
      </c>
      <c r="M549" s="1">
        <f t="shared" si="8"/>
        <v>0.62098656927818918</v>
      </c>
    </row>
    <row r="550" spans="1:13" x14ac:dyDescent="0.25">
      <c r="A550" s="1">
        <v>401.4</v>
      </c>
      <c r="B550" s="1">
        <v>401.4</v>
      </c>
      <c r="C550" s="1">
        <f>LN(dane_7[[#This Row],[Dane wejściowe posortowane]])</f>
        <v>5.9949584363622375</v>
      </c>
      <c r="D550" s="1">
        <v>549</v>
      </c>
      <c r="G550" s="1">
        <f>dane_7[[#This Row],[Nr próbki]]/($G$1+1)</f>
        <v>0.54845154845154842</v>
      </c>
      <c r="H550" s="1">
        <f>(dane_7[[#This Row],[Logarytm naturalny]]-$I$2)/$J$2</f>
        <v>0.30807290032157836</v>
      </c>
      <c r="M550" s="1">
        <f t="shared" si="8"/>
        <v>0.62098656927818918</v>
      </c>
    </row>
    <row r="551" spans="1:13" x14ac:dyDescent="0.25">
      <c r="A551" s="1">
        <v>401.4</v>
      </c>
      <c r="B551" s="1">
        <v>401.4</v>
      </c>
      <c r="C551" s="1">
        <f>LN(dane_7[[#This Row],[Dane wejściowe posortowane]])</f>
        <v>5.9949584363622375</v>
      </c>
      <c r="D551" s="1">
        <v>550</v>
      </c>
      <c r="G551" s="1">
        <f>dane_7[[#This Row],[Nr próbki]]/($G$1+1)</f>
        <v>0.5494505494505495</v>
      </c>
      <c r="H551" s="1">
        <f>(dane_7[[#This Row],[Logarytm naturalny]]-$I$2)/$J$2</f>
        <v>0.30807290032157836</v>
      </c>
      <c r="M551" s="1">
        <f t="shared" si="8"/>
        <v>0.62098656927818918</v>
      </c>
    </row>
    <row r="552" spans="1:13" x14ac:dyDescent="0.25">
      <c r="A552" s="1">
        <v>401.4</v>
      </c>
      <c r="B552" s="1">
        <v>401.4</v>
      </c>
      <c r="C552" s="1">
        <f>LN(dane_7[[#This Row],[Dane wejściowe posortowane]])</f>
        <v>5.9949584363622375</v>
      </c>
      <c r="D552" s="1">
        <v>551</v>
      </c>
      <c r="G552" s="1">
        <f>dane_7[[#This Row],[Nr próbki]]/($G$1+1)</f>
        <v>0.55044955044955046</v>
      </c>
      <c r="H552" s="1">
        <f>(dane_7[[#This Row],[Logarytm naturalny]]-$I$2)/$J$2</f>
        <v>0.30807290032157836</v>
      </c>
      <c r="M552" s="1">
        <f t="shared" si="8"/>
        <v>0.62098656927818918</v>
      </c>
    </row>
    <row r="553" spans="1:13" x14ac:dyDescent="0.25">
      <c r="A553" s="1">
        <v>401.4</v>
      </c>
      <c r="B553" s="1">
        <v>401.4</v>
      </c>
      <c r="C553" s="1">
        <f>LN(dane_7[[#This Row],[Dane wejściowe posortowane]])</f>
        <v>5.9949584363622375</v>
      </c>
      <c r="D553" s="1">
        <v>552</v>
      </c>
      <c r="G553" s="1">
        <f>dane_7[[#This Row],[Nr próbki]]/($G$1+1)</f>
        <v>0.55144855144855143</v>
      </c>
      <c r="H553" s="1">
        <f>(dane_7[[#This Row],[Logarytm naturalny]]-$I$2)/$J$2</f>
        <v>0.30807290032157836</v>
      </c>
      <c r="M553" s="1">
        <f t="shared" si="8"/>
        <v>0.62098656927818918</v>
      </c>
    </row>
    <row r="554" spans="1:13" x14ac:dyDescent="0.25">
      <c r="A554" s="1">
        <v>401.4</v>
      </c>
      <c r="B554" s="1">
        <v>401.4</v>
      </c>
      <c r="C554" s="1">
        <f>LN(dane_7[[#This Row],[Dane wejściowe posortowane]])</f>
        <v>5.9949584363622375</v>
      </c>
      <c r="D554" s="1">
        <v>553</v>
      </c>
      <c r="G554" s="1">
        <f>dane_7[[#This Row],[Nr próbki]]/($G$1+1)</f>
        <v>0.55244755244755239</v>
      </c>
      <c r="H554" s="1">
        <f>(dane_7[[#This Row],[Logarytm naturalny]]-$I$2)/$J$2</f>
        <v>0.30807290032157836</v>
      </c>
      <c r="M554" s="1">
        <f t="shared" si="8"/>
        <v>0.62098656927818918</v>
      </c>
    </row>
    <row r="555" spans="1:13" x14ac:dyDescent="0.25">
      <c r="A555" s="1">
        <v>401.4</v>
      </c>
      <c r="B555" s="1">
        <v>401.4</v>
      </c>
      <c r="C555" s="1">
        <f>LN(dane_7[[#This Row],[Dane wejściowe posortowane]])</f>
        <v>5.9949584363622375</v>
      </c>
      <c r="D555" s="1">
        <v>554</v>
      </c>
      <c r="G555" s="1">
        <f>dane_7[[#This Row],[Nr próbki]]/($G$1+1)</f>
        <v>0.55344655344655347</v>
      </c>
      <c r="H555" s="1">
        <f>(dane_7[[#This Row],[Logarytm naturalny]]-$I$2)/$J$2</f>
        <v>0.30807290032157836</v>
      </c>
      <c r="M555" s="1">
        <f t="shared" si="8"/>
        <v>0.62098656927818918</v>
      </c>
    </row>
    <row r="556" spans="1:13" x14ac:dyDescent="0.25">
      <c r="A556" s="1">
        <v>401.4</v>
      </c>
      <c r="B556" s="1">
        <v>401.4</v>
      </c>
      <c r="C556" s="1">
        <f>LN(dane_7[[#This Row],[Dane wejściowe posortowane]])</f>
        <v>5.9949584363622375</v>
      </c>
      <c r="D556" s="1">
        <v>555</v>
      </c>
      <c r="G556" s="1">
        <f>dane_7[[#This Row],[Nr próbki]]/($G$1+1)</f>
        <v>0.55444555444555443</v>
      </c>
      <c r="H556" s="1">
        <f>(dane_7[[#This Row],[Logarytm naturalny]]-$I$2)/$J$2</f>
        <v>0.30807290032157836</v>
      </c>
      <c r="M556" s="1">
        <f t="shared" si="8"/>
        <v>0.62098656927818918</v>
      </c>
    </row>
    <row r="557" spans="1:13" x14ac:dyDescent="0.25">
      <c r="A557" s="1">
        <v>401.4</v>
      </c>
      <c r="B557" s="1">
        <v>401.4</v>
      </c>
      <c r="C557" s="1">
        <f>LN(dane_7[[#This Row],[Dane wejściowe posortowane]])</f>
        <v>5.9949584363622375</v>
      </c>
      <c r="D557" s="1">
        <v>556</v>
      </c>
      <c r="G557" s="1">
        <f>dane_7[[#This Row],[Nr próbki]]/($G$1+1)</f>
        <v>0.5554445554445554</v>
      </c>
      <c r="H557" s="1">
        <f>(dane_7[[#This Row],[Logarytm naturalny]]-$I$2)/$J$2</f>
        <v>0.30807290032157836</v>
      </c>
      <c r="M557" s="1">
        <f t="shared" si="8"/>
        <v>0.62098656927818918</v>
      </c>
    </row>
    <row r="558" spans="1:13" x14ac:dyDescent="0.25">
      <c r="A558" s="1">
        <v>401.4</v>
      </c>
      <c r="B558" s="1">
        <v>401.4</v>
      </c>
      <c r="C558" s="1">
        <f>LN(dane_7[[#This Row],[Dane wejściowe posortowane]])</f>
        <v>5.9949584363622375</v>
      </c>
      <c r="D558" s="1">
        <v>557</v>
      </c>
      <c r="G558" s="1">
        <f>dane_7[[#This Row],[Nr próbki]]/($G$1+1)</f>
        <v>0.55644355644355648</v>
      </c>
      <c r="H558" s="1">
        <f>(dane_7[[#This Row],[Logarytm naturalny]]-$I$2)/$J$2</f>
        <v>0.30807290032157836</v>
      </c>
      <c r="M558" s="1">
        <f t="shared" si="8"/>
        <v>0.62098656927818918</v>
      </c>
    </row>
    <row r="559" spans="1:13" x14ac:dyDescent="0.25">
      <c r="A559" s="1">
        <v>401.5</v>
      </c>
      <c r="B559" s="1">
        <v>401.5</v>
      </c>
      <c r="C559" s="1">
        <f>LN(dane_7[[#This Row],[Dane wejściowe posortowane]])</f>
        <v>5.9952075333868162</v>
      </c>
      <c r="D559" s="1">
        <v>558</v>
      </c>
      <c r="G559" s="1">
        <f>dane_7[[#This Row],[Nr próbki]]/($G$1+1)</f>
        <v>0.55744255744255744</v>
      </c>
      <c r="H559" s="1">
        <f>(dane_7[[#This Row],[Logarytm naturalny]]-$I$2)/$J$2</f>
        <v>0.34237413150289892</v>
      </c>
      <c r="M559" s="1">
        <f t="shared" si="8"/>
        <v>0.63396532323191102</v>
      </c>
    </row>
    <row r="560" spans="1:13" x14ac:dyDescent="0.25">
      <c r="A560" s="1">
        <v>401.5</v>
      </c>
      <c r="B560" s="1">
        <v>401.5</v>
      </c>
      <c r="C560" s="1">
        <f>LN(dane_7[[#This Row],[Dane wejściowe posortowane]])</f>
        <v>5.9952075333868162</v>
      </c>
      <c r="D560" s="1">
        <v>559</v>
      </c>
      <c r="G560" s="1">
        <f>dane_7[[#This Row],[Nr próbki]]/($G$1+1)</f>
        <v>0.55844155844155841</v>
      </c>
      <c r="H560" s="1">
        <f>(dane_7[[#This Row],[Logarytm naturalny]]-$I$2)/$J$2</f>
        <v>0.34237413150289892</v>
      </c>
      <c r="M560" s="1">
        <f t="shared" si="8"/>
        <v>0.63396532323191102</v>
      </c>
    </row>
    <row r="561" spans="1:13" x14ac:dyDescent="0.25">
      <c r="A561" s="1">
        <v>401.5</v>
      </c>
      <c r="B561" s="1">
        <v>401.5</v>
      </c>
      <c r="C561" s="1">
        <f>LN(dane_7[[#This Row],[Dane wejściowe posortowane]])</f>
        <v>5.9952075333868162</v>
      </c>
      <c r="D561" s="1">
        <v>560</v>
      </c>
      <c r="G561" s="1">
        <f>dane_7[[#This Row],[Nr próbki]]/($G$1+1)</f>
        <v>0.55944055944055948</v>
      </c>
      <c r="H561" s="1">
        <f>(dane_7[[#This Row],[Logarytm naturalny]]-$I$2)/$J$2</f>
        <v>0.34237413150289892</v>
      </c>
      <c r="M561" s="1">
        <f t="shared" si="8"/>
        <v>0.63396532323191102</v>
      </c>
    </row>
    <row r="562" spans="1:13" x14ac:dyDescent="0.25">
      <c r="A562" s="1">
        <v>401.5</v>
      </c>
      <c r="B562" s="1">
        <v>401.5</v>
      </c>
      <c r="C562" s="1">
        <f>LN(dane_7[[#This Row],[Dane wejściowe posortowane]])</f>
        <v>5.9952075333868162</v>
      </c>
      <c r="D562" s="1">
        <v>561</v>
      </c>
      <c r="G562" s="1">
        <f>dane_7[[#This Row],[Nr próbki]]/($G$1+1)</f>
        <v>0.56043956043956045</v>
      </c>
      <c r="H562" s="1">
        <f>(dane_7[[#This Row],[Logarytm naturalny]]-$I$2)/$J$2</f>
        <v>0.34237413150289892</v>
      </c>
      <c r="M562" s="1">
        <f t="shared" si="8"/>
        <v>0.63396532323191102</v>
      </c>
    </row>
    <row r="563" spans="1:13" x14ac:dyDescent="0.25">
      <c r="A563" s="1">
        <v>401.5</v>
      </c>
      <c r="B563" s="1">
        <v>401.5</v>
      </c>
      <c r="C563" s="1">
        <f>LN(dane_7[[#This Row],[Dane wejściowe posortowane]])</f>
        <v>5.9952075333868162</v>
      </c>
      <c r="D563" s="1">
        <v>562</v>
      </c>
      <c r="G563" s="1">
        <f>dane_7[[#This Row],[Nr próbki]]/($G$1+1)</f>
        <v>0.56143856143856141</v>
      </c>
      <c r="H563" s="1">
        <f>(dane_7[[#This Row],[Logarytm naturalny]]-$I$2)/$J$2</f>
        <v>0.34237413150289892</v>
      </c>
      <c r="M563" s="1">
        <f t="shared" si="8"/>
        <v>0.63396532323191102</v>
      </c>
    </row>
    <row r="564" spans="1:13" x14ac:dyDescent="0.25">
      <c r="A564" s="1">
        <v>401.5</v>
      </c>
      <c r="B564" s="1">
        <v>401.5</v>
      </c>
      <c r="C564" s="1">
        <f>LN(dane_7[[#This Row],[Dane wejściowe posortowane]])</f>
        <v>5.9952075333868162</v>
      </c>
      <c r="D564" s="1">
        <v>563</v>
      </c>
      <c r="G564" s="1">
        <f>dane_7[[#This Row],[Nr próbki]]/($G$1+1)</f>
        <v>0.56243756243756249</v>
      </c>
      <c r="H564" s="1">
        <f>(dane_7[[#This Row],[Logarytm naturalny]]-$I$2)/$J$2</f>
        <v>0.34237413150289892</v>
      </c>
      <c r="M564" s="1">
        <f t="shared" si="8"/>
        <v>0.63396532323191102</v>
      </c>
    </row>
    <row r="565" spans="1:13" x14ac:dyDescent="0.25">
      <c r="A565" s="1">
        <v>401.5</v>
      </c>
      <c r="B565" s="1">
        <v>401.5</v>
      </c>
      <c r="C565" s="1">
        <f>LN(dane_7[[#This Row],[Dane wejściowe posortowane]])</f>
        <v>5.9952075333868162</v>
      </c>
      <c r="D565" s="1">
        <v>564</v>
      </c>
      <c r="G565" s="1">
        <f>dane_7[[#This Row],[Nr próbki]]/($G$1+1)</f>
        <v>0.56343656343656345</v>
      </c>
      <c r="H565" s="1">
        <f>(dane_7[[#This Row],[Logarytm naturalny]]-$I$2)/$J$2</f>
        <v>0.34237413150289892</v>
      </c>
      <c r="M565" s="1">
        <f t="shared" si="8"/>
        <v>0.63396532323191102</v>
      </c>
    </row>
    <row r="566" spans="1:13" x14ac:dyDescent="0.25">
      <c r="A566" s="1">
        <v>401.5</v>
      </c>
      <c r="B566" s="1">
        <v>401.5</v>
      </c>
      <c r="C566" s="1">
        <f>LN(dane_7[[#This Row],[Dane wejściowe posortowane]])</f>
        <v>5.9952075333868162</v>
      </c>
      <c r="D566" s="1">
        <v>565</v>
      </c>
      <c r="G566" s="1">
        <f>dane_7[[#This Row],[Nr próbki]]/($G$1+1)</f>
        <v>0.56443556443556442</v>
      </c>
      <c r="H566" s="1">
        <f>(dane_7[[#This Row],[Logarytm naturalny]]-$I$2)/$J$2</f>
        <v>0.34237413150289892</v>
      </c>
      <c r="M566" s="1">
        <f t="shared" si="8"/>
        <v>0.63396532323191102</v>
      </c>
    </row>
    <row r="567" spans="1:13" x14ac:dyDescent="0.25">
      <c r="A567" s="1">
        <v>401.5</v>
      </c>
      <c r="B567" s="1">
        <v>401.5</v>
      </c>
      <c r="C567" s="1">
        <f>LN(dane_7[[#This Row],[Dane wejściowe posortowane]])</f>
        <v>5.9952075333868162</v>
      </c>
      <c r="D567" s="1">
        <v>566</v>
      </c>
      <c r="G567" s="1">
        <f>dane_7[[#This Row],[Nr próbki]]/($G$1+1)</f>
        <v>0.56543456543456538</v>
      </c>
      <c r="H567" s="1">
        <f>(dane_7[[#This Row],[Logarytm naturalny]]-$I$2)/$J$2</f>
        <v>0.34237413150289892</v>
      </c>
      <c r="M567" s="1">
        <f t="shared" si="8"/>
        <v>0.63396532323191102</v>
      </c>
    </row>
    <row r="568" spans="1:13" x14ac:dyDescent="0.25">
      <c r="A568" s="1">
        <v>401.5</v>
      </c>
      <c r="B568" s="1">
        <v>401.5</v>
      </c>
      <c r="C568" s="1">
        <f>LN(dane_7[[#This Row],[Dane wejściowe posortowane]])</f>
        <v>5.9952075333868162</v>
      </c>
      <c r="D568" s="1">
        <v>567</v>
      </c>
      <c r="G568" s="1">
        <f>dane_7[[#This Row],[Nr próbki]]/($G$1+1)</f>
        <v>0.56643356643356646</v>
      </c>
      <c r="H568" s="1">
        <f>(dane_7[[#This Row],[Logarytm naturalny]]-$I$2)/$J$2</f>
        <v>0.34237413150289892</v>
      </c>
      <c r="M568" s="1">
        <f t="shared" si="8"/>
        <v>0.63396532323191102</v>
      </c>
    </row>
    <row r="569" spans="1:13" x14ac:dyDescent="0.25">
      <c r="A569" s="1">
        <v>401.5</v>
      </c>
      <c r="B569" s="1">
        <v>401.5</v>
      </c>
      <c r="C569" s="1">
        <f>LN(dane_7[[#This Row],[Dane wejściowe posortowane]])</f>
        <v>5.9952075333868162</v>
      </c>
      <c r="D569" s="1">
        <v>568</v>
      </c>
      <c r="G569" s="1">
        <f>dane_7[[#This Row],[Nr próbki]]/($G$1+1)</f>
        <v>0.56743256743256743</v>
      </c>
      <c r="H569" s="1">
        <f>(dane_7[[#This Row],[Logarytm naturalny]]-$I$2)/$J$2</f>
        <v>0.34237413150289892</v>
      </c>
      <c r="M569" s="1">
        <f t="shared" si="8"/>
        <v>0.63396532323191102</v>
      </c>
    </row>
    <row r="570" spans="1:13" x14ac:dyDescent="0.25">
      <c r="A570" s="1">
        <v>401.5</v>
      </c>
      <c r="B570" s="1">
        <v>401.5</v>
      </c>
      <c r="C570" s="1">
        <f>LN(dane_7[[#This Row],[Dane wejściowe posortowane]])</f>
        <v>5.9952075333868162</v>
      </c>
      <c r="D570" s="1">
        <v>569</v>
      </c>
      <c r="G570" s="1">
        <f>dane_7[[#This Row],[Nr próbki]]/($G$1+1)</f>
        <v>0.56843156843156839</v>
      </c>
      <c r="H570" s="1">
        <f>(dane_7[[#This Row],[Logarytm naturalny]]-$I$2)/$J$2</f>
        <v>0.34237413150289892</v>
      </c>
      <c r="M570" s="1">
        <f t="shared" si="8"/>
        <v>0.63396532323191102</v>
      </c>
    </row>
    <row r="571" spans="1:13" x14ac:dyDescent="0.25">
      <c r="A571" s="1">
        <v>401.5</v>
      </c>
      <c r="B571" s="1">
        <v>401.5</v>
      </c>
      <c r="C571" s="1">
        <f>LN(dane_7[[#This Row],[Dane wejściowe posortowane]])</f>
        <v>5.9952075333868162</v>
      </c>
      <c r="D571" s="1">
        <v>570</v>
      </c>
      <c r="G571" s="1">
        <f>dane_7[[#This Row],[Nr próbki]]/($G$1+1)</f>
        <v>0.56943056943056947</v>
      </c>
      <c r="H571" s="1">
        <f>(dane_7[[#This Row],[Logarytm naturalny]]-$I$2)/$J$2</f>
        <v>0.34237413150289892</v>
      </c>
      <c r="M571" s="1">
        <f t="shared" si="8"/>
        <v>0.63396532323191102</v>
      </c>
    </row>
    <row r="572" spans="1:13" x14ac:dyDescent="0.25">
      <c r="A572" s="1">
        <v>401.5</v>
      </c>
      <c r="B572" s="1">
        <v>401.5</v>
      </c>
      <c r="C572" s="1">
        <f>LN(dane_7[[#This Row],[Dane wejściowe posortowane]])</f>
        <v>5.9952075333868162</v>
      </c>
      <c r="D572" s="1">
        <v>571</v>
      </c>
      <c r="G572" s="1">
        <f>dane_7[[#This Row],[Nr próbki]]/($G$1+1)</f>
        <v>0.57042957042957043</v>
      </c>
      <c r="H572" s="1">
        <f>(dane_7[[#This Row],[Logarytm naturalny]]-$I$2)/$J$2</f>
        <v>0.34237413150289892</v>
      </c>
      <c r="M572" s="1">
        <f t="shared" si="8"/>
        <v>0.63396532323191102</v>
      </c>
    </row>
    <row r="573" spans="1:13" x14ac:dyDescent="0.25">
      <c r="A573" s="1">
        <v>401.5</v>
      </c>
      <c r="B573" s="1">
        <v>401.5</v>
      </c>
      <c r="C573" s="1">
        <f>LN(dane_7[[#This Row],[Dane wejściowe posortowane]])</f>
        <v>5.9952075333868162</v>
      </c>
      <c r="D573" s="1">
        <v>572</v>
      </c>
      <c r="G573" s="1">
        <f>dane_7[[#This Row],[Nr próbki]]/($G$1+1)</f>
        <v>0.5714285714285714</v>
      </c>
      <c r="H573" s="1">
        <f>(dane_7[[#This Row],[Logarytm naturalny]]-$I$2)/$J$2</f>
        <v>0.34237413150289892</v>
      </c>
      <c r="M573" s="1">
        <f t="shared" si="8"/>
        <v>0.63396532323191102</v>
      </c>
    </row>
    <row r="574" spans="1:13" x14ac:dyDescent="0.25">
      <c r="A574" s="1">
        <v>401.5</v>
      </c>
      <c r="B574" s="1">
        <v>401.5</v>
      </c>
      <c r="C574" s="1">
        <f>LN(dane_7[[#This Row],[Dane wejściowe posortowane]])</f>
        <v>5.9952075333868162</v>
      </c>
      <c r="D574" s="1">
        <v>573</v>
      </c>
      <c r="G574" s="1">
        <f>dane_7[[#This Row],[Nr próbki]]/($G$1+1)</f>
        <v>0.57242757242757247</v>
      </c>
      <c r="H574" s="1">
        <f>(dane_7[[#This Row],[Logarytm naturalny]]-$I$2)/$J$2</f>
        <v>0.34237413150289892</v>
      </c>
      <c r="M574" s="1">
        <f t="shared" si="8"/>
        <v>0.63396532323191102</v>
      </c>
    </row>
    <row r="575" spans="1:13" x14ac:dyDescent="0.25">
      <c r="A575" s="1">
        <v>401.5</v>
      </c>
      <c r="B575" s="1">
        <v>401.5</v>
      </c>
      <c r="C575" s="1">
        <f>LN(dane_7[[#This Row],[Dane wejściowe posortowane]])</f>
        <v>5.9952075333868162</v>
      </c>
      <c r="D575" s="1">
        <v>574</v>
      </c>
      <c r="G575" s="1">
        <f>dane_7[[#This Row],[Nr próbki]]/($G$1+1)</f>
        <v>0.57342657342657344</v>
      </c>
      <c r="H575" s="1">
        <f>(dane_7[[#This Row],[Logarytm naturalny]]-$I$2)/$J$2</f>
        <v>0.34237413150289892</v>
      </c>
      <c r="M575" s="1">
        <f t="shared" si="8"/>
        <v>0.63396532323191102</v>
      </c>
    </row>
    <row r="576" spans="1:13" x14ac:dyDescent="0.25">
      <c r="A576" s="1">
        <v>401.5</v>
      </c>
      <c r="B576" s="1">
        <v>401.5</v>
      </c>
      <c r="C576" s="1">
        <f>LN(dane_7[[#This Row],[Dane wejściowe posortowane]])</f>
        <v>5.9952075333868162</v>
      </c>
      <c r="D576" s="1">
        <v>575</v>
      </c>
      <c r="G576" s="1">
        <f>dane_7[[#This Row],[Nr próbki]]/($G$1+1)</f>
        <v>0.5744255744255744</v>
      </c>
      <c r="H576" s="1">
        <f>(dane_7[[#This Row],[Logarytm naturalny]]-$I$2)/$J$2</f>
        <v>0.34237413150289892</v>
      </c>
      <c r="M576" s="1">
        <f t="shared" si="8"/>
        <v>0.63396532323191102</v>
      </c>
    </row>
    <row r="577" spans="1:13" x14ac:dyDescent="0.25">
      <c r="A577" s="1">
        <v>401.5</v>
      </c>
      <c r="B577" s="1">
        <v>401.5</v>
      </c>
      <c r="C577" s="1">
        <f>LN(dane_7[[#This Row],[Dane wejściowe posortowane]])</f>
        <v>5.9952075333868162</v>
      </c>
      <c r="D577" s="1">
        <v>576</v>
      </c>
      <c r="G577" s="1">
        <f>dane_7[[#This Row],[Nr próbki]]/($G$1+1)</f>
        <v>0.57542457542457548</v>
      </c>
      <c r="H577" s="1">
        <f>(dane_7[[#This Row],[Logarytm naturalny]]-$I$2)/$J$2</f>
        <v>0.34237413150289892</v>
      </c>
      <c r="M577" s="1">
        <f t="shared" si="8"/>
        <v>0.63396532323191102</v>
      </c>
    </row>
    <row r="578" spans="1:13" x14ac:dyDescent="0.25">
      <c r="A578" s="1">
        <v>401.5</v>
      </c>
      <c r="B578" s="1">
        <v>401.5</v>
      </c>
      <c r="C578" s="1">
        <f>LN(dane_7[[#This Row],[Dane wejściowe posortowane]])</f>
        <v>5.9952075333868162</v>
      </c>
      <c r="D578" s="1">
        <v>577</v>
      </c>
      <c r="G578" s="1">
        <f>dane_7[[#This Row],[Nr próbki]]/($G$1+1)</f>
        <v>0.57642357642357644</v>
      </c>
      <c r="H578" s="1">
        <f>(dane_7[[#This Row],[Logarytm naturalny]]-$I$2)/$J$2</f>
        <v>0.34237413150289892</v>
      </c>
      <c r="M578" s="1">
        <f t="shared" si="8"/>
        <v>0.63396532323191102</v>
      </c>
    </row>
    <row r="579" spans="1:13" x14ac:dyDescent="0.25">
      <c r="A579" s="1">
        <v>401.5</v>
      </c>
      <c r="B579" s="1">
        <v>401.5</v>
      </c>
      <c r="C579" s="1">
        <f>LN(dane_7[[#This Row],[Dane wejściowe posortowane]])</f>
        <v>5.9952075333868162</v>
      </c>
      <c r="D579" s="1">
        <v>578</v>
      </c>
      <c r="G579" s="1">
        <f>dane_7[[#This Row],[Nr próbki]]/($G$1+1)</f>
        <v>0.57742257742257741</v>
      </c>
      <c r="H579" s="1">
        <f>(dane_7[[#This Row],[Logarytm naturalny]]-$I$2)/$J$2</f>
        <v>0.34237413150289892</v>
      </c>
      <c r="M579" s="1">
        <f t="shared" ref="M579:M642" si="9">LOGNORMDIST(B579:B1578,$I$2,$J$2)</f>
        <v>0.63396532323191102</v>
      </c>
    </row>
    <row r="580" spans="1:13" x14ac:dyDescent="0.25">
      <c r="A580" s="1">
        <v>401.6</v>
      </c>
      <c r="B580" s="1">
        <v>401.6</v>
      </c>
      <c r="C580" s="1">
        <f>LN(dane_7[[#This Row],[Dane wejściowe posortowane]])</f>
        <v>5.9954565683775192</v>
      </c>
      <c r="D580" s="1">
        <v>579</v>
      </c>
      <c r="G580" s="1">
        <f>dane_7[[#This Row],[Nr próbki]]/($G$1+1)</f>
        <v>0.57842157842157838</v>
      </c>
      <c r="H580" s="1">
        <f>(dane_7[[#This Row],[Logarytm naturalny]]-$I$2)/$J$2</f>
        <v>0.37666682047734656</v>
      </c>
      <c r="M580" s="1">
        <f t="shared" si="9"/>
        <v>0.64678938840099853</v>
      </c>
    </row>
    <row r="581" spans="1:13" x14ac:dyDescent="0.25">
      <c r="A581" s="1">
        <v>401.6</v>
      </c>
      <c r="B581" s="1">
        <v>401.6</v>
      </c>
      <c r="C581" s="1">
        <f>LN(dane_7[[#This Row],[Dane wejściowe posortowane]])</f>
        <v>5.9954565683775192</v>
      </c>
      <c r="D581" s="1">
        <v>580</v>
      </c>
      <c r="G581" s="1">
        <f>dane_7[[#This Row],[Nr próbki]]/($G$1+1)</f>
        <v>0.57942057942057945</v>
      </c>
      <c r="H581" s="1">
        <f>(dane_7[[#This Row],[Logarytm naturalny]]-$I$2)/$J$2</f>
        <v>0.37666682047734656</v>
      </c>
      <c r="M581" s="1">
        <f t="shared" si="9"/>
        <v>0.64678938840099853</v>
      </c>
    </row>
    <row r="582" spans="1:13" x14ac:dyDescent="0.25">
      <c r="A582" s="1">
        <v>401.6</v>
      </c>
      <c r="B582" s="1">
        <v>401.6</v>
      </c>
      <c r="C582" s="1">
        <f>LN(dane_7[[#This Row],[Dane wejściowe posortowane]])</f>
        <v>5.9954565683775192</v>
      </c>
      <c r="D582" s="1">
        <v>581</v>
      </c>
      <c r="G582" s="1">
        <f>dane_7[[#This Row],[Nr próbki]]/($G$1+1)</f>
        <v>0.58041958041958042</v>
      </c>
      <c r="H582" s="1">
        <f>(dane_7[[#This Row],[Logarytm naturalny]]-$I$2)/$J$2</f>
        <v>0.37666682047734656</v>
      </c>
      <c r="M582" s="1">
        <f t="shared" si="9"/>
        <v>0.64678938840099853</v>
      </c>
    </row>
    <row r="583" spans="1:13" x14ac:dyDescent="0.25">
      <c r="A583" s="1">
        <v>401.6</v>
      </c>
      <c r="B583" s="1">
        <v>401.6</v>
      </c>
      <c r="C583" s="1">
        <f>LN(dane_7[[#This Row],[Dane wejściowe posortowane]])</f>
        <v>5.9954565683775192</v>
      </c>
      <c r="D583" s="1">
        <v>582</v>
      </c>
      <c r="G583" s="1">
        <f>dane_7[[#This Row],[Nr próbki]]/($G$1+1)</f>
        <v>0.58141858141858138</v>
      </c>
      <c r="H583" s="1">
        <f>(dane_7[[#This Row],[Logarytm naturalny]]-$I$2)/$J$2</f>
        <v>0.37666682047734656</v>
      </c>
      <c r="M583" s="1">
        <f t="shared" si="9"/>
        <v>0.64678938840099853</v>
      </c>
    </row>
    <row r="584" spans="1:13" x14ac:dyDescent="0.25">
      <c r="A584" s="1">
        <v>401.6</v>
      </c>
      <c r="B584" s="1">
        <v>401.6</v>
      </c>
      <c r="C584" s="1">
        <f>LN(dane_7[[#This Row],[Dane wejściowe posortowane]])</f>
        <v>5.9954565683775192</v>
      </c>
      <c r="D584" s="1">
        <v>583</v>
      </c>
      <c r="G584" s="1">
        <f>dane_7[[#This Row],[Nr próbki]]/($G$1+1)</f>
        <v>0.58241758241758246</v>
      </c>
      <c r="H584" s="1">
        <f>(dane_7[[#This Row],[Logarytm naturalny]]-$I$2)/$J$2</f>
        <v>0.37666682047734656</v>
      </c>
      <c r="M584" s="1">
        <f t="shared" si="9"/>
        <v>0.64678938840099853</v>
      </c>
    </row>
    <row r="585" spans="1:13" x14ac:dyDescent="0.25">
      <c r="A585" s="1">
        <v>401.6</v>
      </c>
      <c r="B585" s="1">
        <v>401.6</v>
      </c>
      <c r="C585" s="1">
        <f>LN(dane_7[[#This Row],[Dane wejściowe posortowane]])</f>
        <v>5.9954565683775192</v>
      </c>
      <c r="D585" s="1">
        <v>584</v>
      </c>
      <c r="G585" s="1">
        <f>dane_7[[#This Row],[Nr próbki]]/($G$1+1)</f>
        <v>0.58341658341658342</v>
      </c>
      <c r="H585" s="1">
        <f>(dane_7[[#This Row],[Logarytm naturalny]]-$I$2)/$J$2</f>
        <v>0.37666682047734656</v>
      </c>
      <c r="M585" s="1">
        <f t="shared" si="9"/>
        <v>0.64678938840099853</v>
      </c>
    </row>
    <row r="586" spans="1:13" x14ac:dyDescent="0.25">
      <c r="A586" s="1">
        <v>401.6</v>
      </c>
      <c r="B586" s="1">
        <v>401.6</v>
      </c>
      <c r="C586" s="1">
        <f>LN(dane_7[[#This Row],[Dane wejściowe posortowane]])</f>
        <v>5.9954565683775192</v>
      </c>
      <c r="D586" s="1">
        <v>585</v>
      </c>
      <c r="G586" s="1">
        <f>dane_7[[#This Row],[Nr próbki]]/($G$1+1)</f>
        <v>0.58441558441558439</v>
      </c>
      <c r="H586" s="1">
        <f>(dane_7[[#This Row],[Logarytm naturalny]]-$I$2)/$J$2</f>
        <v>0.37666682047734656</v>
      </c>
      <c r="M586" s="1">
        <f t="shared" si="9"/>
        <v>0.64678938840099853</v>
      </c>
    </row>
    <row r="587" spans="1:13" x14ac:dyDescent="0.25">
      <c r="A587" s="1">
        <v>401.6</v>
      </c>
      <c r="B587" s="1">
        <v>401.6</v>
      </c>
      <c r="C587" s="1">
        <f>LN(dane_7[[#This Row],[Dane wejściowe posortowane]])</f>
        <v>5.9954565683775192</v>
      </c>
      <c r="D587" s="1">
        <v>586</v>
      </c>
      <c r="G587" s="1">
        <f>dane_7[[#This Row],[Nr próbki]]/($G$1+1)</f>
        <v>0.58541458541458546</v>
      </c>
      <c r="H587" s="1">
        <f>(dane_7[[#This Row],[Logarytm naturalny]]-$I$2)/$J$2</f>
        <v>0.37666682047734656</v>
      </c>
      <c r="M587" s="1">
        <f t="shared" si="9"/>
        <v>0.64678938840099853</v>
      </c>
    </row>
    <row r="588" spans="1:13" x14ac:dyDescent="0.25">
      <c r="A588" s="1">
        <v>401.6</v>
      </c>
      <c r="B588" s="1">
        <v>401.6</v>
      </c>
      <c r="C588" s="1">
        <f>LN(dane_7[[#This Row],[Dane wejściowe posortowane]])</f>
        <v>5.9954565683775192</v>
      </c>
      <c r="D588" s="1">
        <v>587</v>
      </c>
      <c r="G588" s="1">
        <f>dane_7[[#This Row],[Nr próbki]]/($G$1+1)</f>
        <v>0.58641358641358643</v>
      </c>
      <c r="H588" s="1">
        <f>(dane_7[[#This Row],[Logarytm naturalny]]-$I$2)/$J$2</f>
        <v>0.37666682047734656</v>
      </c>
      <c r="M588" s="1">
        <f t="shared" si="9"/>
        <v>0.64678938840099853</v>
      </c>
    </row>
    <row r="589" spans="1:13" x14ac:dyDescent="0.25">
      <c r="A589" s="1">
        <v>401.6</v>
      </c>
      <c r="B589" s="1">
        <v>401.6</v>
      </c>
      <c r="C589" s="1">
        <f>LN(dane_7[[#This Row],[Dane wejściowe posortowane]])</f>
        <v>5.9954565683775192</v>
      </c>
      <c r="D589" s="1">
        <v>588</v>
      </c>
      <c r="G589" s="1">
        <f>dane_7[[#This Row],[Nr próbki]]/($G$1+1)</f>
        <v>0.58741258741258739</v>
      </c>
      <c r="H589" s="1">
        <f>(dane_7[[#This Row],[Logarytm naturalny]]-$I$2)/$J$2</f>
        <v>0.37666682047734656</v>
      </c>
      <c r="M589" s="1">
        <f t="shared" si="9"/>
        <v>0.64678938840099853</v>
      </c>
    </row>
    <row r="590" spans="1:13" x14ac:dyDescent="0.25">
      <c r="A590" s="1">
        <v>401.6</v>
      </c>
      <c r="B590" s="1">
        <v>401.6</v>
      </c>
      <c r="C590" s="1">
        <f>LN(dane_7[[#This Row],[Dane wejściowe posortowane]])</f>
        <v>5.9954565683775192</v>
      </c>
      <c r="D590" s="1">
        <v>589</v>
      </c>
      <c r="G590" s="1">
        <f>dane_7[[#This Row],[Nr próbki]]/($G$1+1)</f>
        <v>0.58841158841158836</v>
      </c>
      <c r="H590" s="1">
        <f>(dane_7[[#This Row],[Logarytm naturalny]]-$I$2)/$J$2</f>
        <v>0.37666682047734656</v>
      </c>
      <c r="M590" s="1">
        <f t="shared" si="9"/>
        <v>0.64678938840099853</v>
      </c>
    </row>
    <row r="591" spans="1:13" x14ac:dyDescent="0.25">
      <c r="A591" s="1">
        <v>401.6</v>
      </c>
      <c r="B591" s="1">
        <v>401.6</v>
      </c>
      <c r="C591" s="1">
        <f>LN(dane_7[[#This Row],[Dane wejściowe posortowane]])</f>
        <v>5.9954565683775192</v>
      </c>
      <c r="D591" s="1">
        <v>590</v>
      </c>
      <c r="G591" s="1">
        <f>dane_7[[#This Row],[Nr próbki]]/($G$1+1)</f>
        <v>0.58941058941058944</v>
      </c>
      <c r="H591" s="1">
        <f>(dane_7[[#This Row],[Logarytm naturalny]]-$I$2)/$J$2</f>
        <v>0.37666682047734656</v>
      </c>
      <c r="M591" s="1">
        <f t="shared" si="9"/>
        <v>0.64678938840099853</v>
      </c>
    </row>
    <row r="592" spans="1:13" x14ac:dyDescent="0.25">
      <c r="A592" s="1">
        <v>401.6</v>
      </c>
      <c r="B592" s="1">
        <v>401.6</v>
      </c>
      <c r="C592" s="1">
        <f>LN(dane_7[[#This Row],[Dane wejściowe posortowane]])</f>
        <v>5.9954565683775192</v>
      </c>
      <c r="D592" s="1">
        <v>591</v>
      </c>
      <c r="G592" s="1">
        <f>dane_7[[#This Row],[Nr próbki]]/($G$1+1)</f>
        <v>0.5904095904095904</v>
      </c>
      <c r="H592" s="1">
        <f>(dane_7[[#This Row],[Logarytm naturalny]]-$I$2)/$J$2</f>
        <v>0.37666682047734656</v>
      </c>
      <c r="M592" s="1">
        <f t="shared" si="9"/>
        <v>0.64678938840099853</v>
      </c>
    </row>
    <row r="593" spans="1:13" x14ac:dyDescent="0.25">
      <c r="A593" s="1">
        <v>401.6</v>
      </c>
      <c r="B593" s="1">
        <v>401.6</v>
      </c>
      <c r="C593" s="1">
        <f>LN(dane_7[[#This Row],[Dane wejściowe posortowane]])</f>
        <v>5.9954565683775192</v>
      </c>
      <c r="D593" s="1">
        <v>592</v>
      </c>
      <c r="G593" s="1">
        <f>dane_7[[#This Row],[Nr próbki]]/($G$1+1)</f>
        <v>0.59140859140859137</v>
      </c>
      <c r="H593" s="1">
        <f>(dane_7[[#This Row],[Logarytm naturalny]]-$I$2)/$J$2</f>
        <v>0.37666682047734656</v>
      </c>
      <c r="M593" s="1">
        <f t="shared" si="9"/>
        <v>0.64678938840099853</v>
      </c>
    </row>
    <row r="594" spans="1:13" x14ac:dyDescent="0.25">
      <c r="A594" s="1">
        <v>401.6</v>
      </c>
      <c r="B594" s="1">
        <v>401.6</v>
      </c>
      <c r="C594" s="1">
        <f>LN(dane_7[[#This Row],[Dane wejściowe posortowane]])</f>
        <v>5.9954565683775192</v>
      </c>
      <c r="D594" s="1">
        <v>593</v>
      </c>
      <c r="G594" s="1">
        <f>dane_7[[#This Row],[Nr próbki]]/($G$1+1)</f>
        <v>0.59240759240759244</v>
      </c>
      <c r="H594" s="1">
        <f>(dane_7[[#This Row],[Logarytm naturalny]]-$I$2)/$J$2</f>
        <v>0.37666682047734656</v>
      </c>
      <c r="M594" s="1">
        <f t="shared" si="9"/>
        <v>0.64678938840099853</v>
      </c>
    </row>
    <row r="595" spans="1:13" x14ac:dyDescent="0.25">
      <c r="A595" s="1">
        <v>401.6</v>
      </c>
      <c r="B595" s="1">
        <v>401.6</v>
      </c>
      <c r="C595" s="1">
        <f>LN(dane_7[[#This Row],[Dane wejściowe posortowane]])</f>
        <v>5.9954565683775192</v>
      </c>
      <c r="D595" s="1">
        <v>594</v>
      </c>
      <c r="G595" s="1">
        <f>dane_7[[#This Row],[Nr próbki]]/($G$1+1)</f>
        <v>0.59340659340659341</v>
      </c>
      <c r="H595" s="1">
        <f>(dane_7[[#This Row],[Logarytm naturalny]]-$I$2)/$J$2</f>
        <v>0.37666682047734656</v>
      </c>
      <c r="M595" s="1">
        <f t="shared" si="9"/>
        <v>0.64678938840099853</v>
      </c>
    </row>
    <row r="596" spans="1:13" x14ac:dyDescent="0.25">
      <c r="A596" s="1">
        <v>401.6</v>
      </c>
      <c r="B596" s="1">
        <v>401.6</v>
      </c>
      <c r="C596" s="1">
        <f>LN(dane_7[[#This Row],[Dane wejściowe posortowane]])</f>
        <v>5.9954565683775192</v>
      </c>
      <c r="D596" s="1">
        <v>595</v>
      </c>
      <c r="G596" s="1">
        <f>dane_7[[#This Row],[Nr próbki]]/($G$1+1)</f>
        <v>0.59440559440559437</v>
      </c>
      <c r="H596" s="1">
        <f>(dane_7[[#This Row],[Logarytm naturalny]]-$I$2)/$J$2</f>
        <v>0.37666682047734656</v>
      </c>
      <c r="M596" s="1">
        <f t="shared" si="9"/>
        <v>0.64678938840099853</v>
      </c>
    </row>
    <row r="597" spans="1:13" x14ac:dyDescent="0.25">
      <c r="A597" s="1">
        <v>401.6</v>
      </c>
      <c r="B597" s="1">
        <v>401.6</v>
      </c>
      <c r="C597" s="1">
        <f>LN(dane_7[[#This Row],[Dane wejściowe posortowane]])</f>
        <v>5.9954565683775192</v>
      </c>
      <c r="D597" s="1">
        <v>596</v>
      </c>
      <c r="G597" s="1">
        <f>dane_7[[#This Row],[Nr próbki]]/($G$1+1)</f>
        <v>0.59540459540459545</v>
      </c>
      <c r="H597" s="1">
        <f>(dane_7[[#This Row],[Logarytm naturalny]]-$I$2)/$J$2</f>
        <v>0.37666682047734656</v>
      </c>
      <c r="M597" s="1">
        <f t="shared" si="9"/>
        <v>0.64678938840099853</v>
      </c>
    </row>
    <row r="598" spans="1:13" x14ac:dyDescent="0.25">
      <c r="A598" s="1">
        <v>401.6</v>
      </c>
      <c r="B598" s="1">
        <v>401.6</v>
      </c>
      <c r="C598" s="1">
        <f>LN(dane_7[[#This Row],[Dane wejściowe posortowane]])</f>
        <v>5.9954565683775192</v>
      </c>
      <c r="D598" s="1">
        <v>597</v>
      </c>
      <c r="G598" s="1">
        <f>dane_7[[#This Row],[Nr próbki]]/($G$1+1)</f>
        <v>0.59640359640359641</v>
      </c>
      <c r="H598" s="1">
        <f>(dane_7[[#This Row],[Logarytm naturalny]]-$I$2)/$J$2</f>
        <v>0.37666682047734656</v>
      </c>
      <c r="M598" s="1">
        <f t="shared" si="9"/>
        <v>0.64678938840099853</v>
      </c>
    </row>
    <row r="599" spans="1:13" x14ac:dyDescent="0.25">
      <c r="A599" s="1">
        <v>401.6</v>
      </c>
      <c r="B599" s="1">
        <v>401.6</v>
      </c>
      <c r="C599" s="1">
        <f>LN(dane_7[[#This Row],[Dane wejściowe posortowane]])</f>
        <v>5.9954565683775192</v>
      </c>
      <c r="D599" s="1">
        <v>598</v>
      </c>
      <c r="G599" s="1">
        <f>dane_7[[#This Row],[Nr próbki]]/($G$1+1)</f>
        <v>0.59740259740259738</v>
      </c>
      <c r="H599" s="1">
        <f>(dane_7[[#This Row],[Logarytm naturalny]]-$I$2)/$J$2</f>
        <v>0.37666682047734656</v>
      </c>
      <c r="M599" s="1">
        <f t="shared" si="9"/>
        <v>0.64678938840099853</v>
      </c>
    </row>
    <row r="600" spans="1:13" x14ac:dyDescent="0.25">
      <c r="A600" s="1">
        <v>401.6</v>
      </c>
      <c r="B600" s="1">
        <v>401.6</v>
      </c>
      <c r="C600" s="1">
        <f>LN(dane_7[[#This Row],[Dane wejściowe posortowane]])</f>
        <v>5.9954565683775192</v>
      </c>
      <c r="D600" s="1">
        <v>599</v>
      </c>
      <c r="G600" s="1">
        <f>dane_7[[#This Row],[Nr próbki]]/($G$1+1)</f>
        <v>0.59840159840159846</v>
      </c>
      <c r="H600" s="1">
        <f>(dane_7[[#This Row],[Logarytm naturalny]]-$I$2)/$J$2</f>
        <v>0.37666682047734656</v>
      </c>
      <c r="M600" s="1">
        <f t="shared" si="9"/>
        <v>0.64678938840099853</v>
      </c>
    </row>
    <row r="601" spans="1:13" x14ac:dyDescent="0.25">
      <c r="A601" s="1">
        <v>401.6</v>
      </c>
      <c r="B601" s="1">
        <v>401.6</v>
      </c>
      <c r="C601" s="1">
        <f>LN(dane_7[[#This Row],[Dane wejściowe posortowane]])</f>
        <v>5.9954565683775192</v>
      </c>
      <c r="D601" s="1">
        <v>600</v>
      </c>
      <c r="G601" s="1">
        <f>dane_7[[#This Row],[Nr próbki]]/($G$1+1)</f>
        <v>0.59940059940059942</v>
      </c>
      <c r="H601" s="1">
        <f>(dane_7[[#This Row],[Logarytm naturalny]]-$I$2)/$J$2</f>
        <v>0.37666682047734656</v>
      </c>
      <c r="M601" s="1">
        <f t="shared" si="9"/>
        <v>0.64678938840099853</v>
      </c>
    </row>
    <row r="602" spans="1:13" x14ac:dyDescent="0.25">
      <c r="A602" s="1">
        <v>401.6</v>
      </c>
      <c r="B602" s="1">
        <v>401.6</v>
      </c>
      <c r="C602" s="1">
        <f>LN(dane_7[[#This Row],[Dane wejściowe posortowane]])</f>
        <v>5.9954565683775192</v>
      </c>
      <c r="D602" s="1">
        <v>601</v>
      </c>
      <c r="G602" s="1">
        <f>dane_7[[#This Row],[Nr próbki]]/($G$1+1)</f>
        <v>0.60039960039960039</v>
      </c>
      <c r="H602" s="1">
        <f>(dane_7[[#This Row],[Logarytm naturalny]]-$I$2)/$J$2</f>
        <v>0.37666682047734656</v>
      </c>
      <c r="M602" s="1">
        <f t="shared" si="9"/>
        <v>0.64678938840099853</v>
      </c>
    </row>
    <row r="603" spans="1:13" x14ac:dyDescent="0.25">
      <c r="A603" s="1">
        <v>401.6</v>
      </c>
      <c r="B603" s="1">
        <v>401.6</v>
      </c>
      <c r="C603" s="1">
        <f>LN(dane_7[[#This Row],[Dane wejściowe posortowane]])</f>
        <v>5.9954565683775192</v>
      </c>
      <c r="D603" s="1">
        <v>602</v>
      </c>
      <c r="G603" s="1">
        <f>dane_7[[#This Row],[Nr próbki]]/($G$1+1)</f>
        <v>0.60139860139860135</v>
      </c>
      <c r="H603" s="1">
        <f>(dane_7[[#This Row],[Logarytm naturalny]]-$I$2)/$J$2</f>
        <v>0.37666682047734656</v>
      </c>
      <c r="M603" s="1">
        <f t="shared" si="9"/>
        <v>0.64678938840099853</v>
      </c>
    </row>
    <row r="604" spans="1:13" x14ac:dyDescent="0.25">
      <c r="A604" s="1">
        <v>401.6</v>
      </c>
      <c r="B604" s="1">
        <v>401.6</v>
      </c>
      <c r="C604" s="1">
        <f>LN(dane_7[[#This Row],[Dane wejściowe posortowane]])</f>
        <v>5.9954565683775192</v>
      </c>
      <c r="D604" s="1">
        <v>603</v>
      </c>
      <c r="G604" s="1">
        <f>dane_7[[#This Row],[Nr próbki]]/($G$1+1)</f>
        <v>0.60239760239760243</v>
      </c>
      <c r="H604" s="1">
        <f>(dane_7[[#This Row],[Logarytm naturalny]]-$I$2)/$J$2</f>
        <v>0.37666682047734656</v>
      </c>
      <c r="M604" s="1">
        <f t="shared" si="9"/>
        <v>0.64678938840099853</v>
      </c>
    </row>
    <row r="605" spans="1:13" x14ac:dyDescent="0.25">
      <c r="A605" s="1">
        <v>401.7</v>
      </c>
      <c r="B605" s="1">
        <v>401.7</v>
      </c>
      <c r="C605" s="1">
        <f>LN(dane_7[[#This Row],[Dane wejściowe posortowane]])</f>
        <v>5.9957055413652363</v>
      </c>
      <c r="D605" s="1">
        <v>604</v>
      </c>
      <c r="G605" s="1">
        <f>dane_7[[#This Row],[Nr próbki]]/($G$1+1)</f>
        <v>0.60339660339660339</v>
      </c>
      <c r="H605" s="1">
        <f>(dane_7[[#This Row],[Logarytm naturalny]]-$I$2)/$J$2</f>
        <v>0.41095097149853932</v>
      </c>
      <c r="M605" s="1">
        <f t="shared" si="9"/>
        <v>0.65944575709306863</v>
      </c>
    </row>
    <row r="606" spans="1:13" x14ac:dyDescent="0.25">
      <c r="A606" s="1">
        <v>401.7</v>
      </c>
      <c r="B606" s="1">
        <v>401.7</v>
      </c>
      <c r="C606" s="1">
        <f>LN(dane_7[[#This Row],[Dane wejściowe posortowane]])</f>
        <v>5.9957055413652363</v>
      </c>
      <c r="D606" s="1">
        <v>605</v>
      </c>
      <c r="G606" s="1">
        <f>dane_7[[#This Row],[Nr próbki]]/($G$1+1)</f>
        <v>0.60439560439560436</v>
      </c>
      <c r="H606" s="1">
        <f>(dane_7[[#This Row],[Logarytm naturalny]]-$I$2)/$J$2</f>
        <v>0.41095097149853932</v>
      </c>
      <c r="M606" s="1">
        <f t="shared" si="9"/>
        <v>0.65944575709306863</v>
      </c>
    </row>
    <row r="607" spans="1:13" x14ac:dyDescent="0.25">
      <c r="A607" s="1">
        <v>401.7</v>
      </c>
      <c r="B607" s="1">
        <v>401.7</v>
      </c>
      <c r="C607" s="1">
        <f>LN(dane_7[[#This Row],[Dane wejściowe posortowane]])</f>
        <v>5.9957055413652363</v>
      </c>
      <c r="D607" s="1">
        <v>606</v>
      </c>
      <c r="G607" s="1">
        <f>dane_7[[#This Row],[Nr próbki]]/($G$1+1)</f>
        <v>0.60539460539460543</v>
      </c>
      <c r="H607" s="1">
        <f>(dane_7[[#This Row],[Logarytm naturalny]]-$I$2)/$J$2</f>
        <v>0.41095097149853932</v>
      </c>
      <c r="M607" s="1">
        <f t="shared" si="9"/>
        <v>0.65944575709306863</v>
      </c>
    </row>
    <row r="608" spans="1:13" x14ac:dyDescent="0.25">
      <c r="A608" s="1">
        <v>401.7</v>
      </c>
      <c r="B608" s="1">
        <v>401.7</v>
      </c>
      <c r="C608" s="1">
        <f>LN(dane_7[[#This Row],[Dane wejściowe posortowane]])</f>
        <v>5.9957055413652363</v>
      </c>
      <c r="D608" s="1">
        <v>607</v>
      </c>
      <c r="G608" s="1">
        <f>dane_7[[#This Row],[Nr próbki]]/($G$1+1)</f>
        <v>0.6063936063936064</v>
      </c>
      <c r="H608" s="1">
        <f>(dane_7[[#This Row],[Logarytm naturalny]]-$I$2)/$J$2</f>
        <v>0.41095097149853932</v>
      </c>
      <c r="M608" s="1">
        <f t="shared" si="9"/>
        <v>0.65944575709306863</v>
      </c>
    </row>
    <row r="609" spans="1:13" x14ac:dyDescent="0.25">
      <c r="A609" s="1">
        <v>401.7</v>
      </c>
      <c r="B609" s="1">
        <v>401.7</v>
      </c>
      <c r="C609" s="1">
        <f>LN(dane_7[[#This Row],[Dane wejściowe posortowane]])</f>
        <v>5.9957055413652363</v>
      </c>
      <c r="D609" s="1">
        <v>608</v>
      </c>
      <c r="G609" s="1">
        <f>dane_7[[#This Row],[Nr próbki]]/($G$1+1)</f>
        <v>0.60739260739260736</v>
      </c>
      <c r="H609" s="1">
        <f>(dane_7[[#This Row],[Logarytm naturalny]]-$I$2)/$J$2</f>
        <v>0.41095097149853932</v>
      </c>
      <c r="M609" s="1">
        <f t="shared" si="9"/>
        <v>0.65944575709306863</v>
      </c>
    </row>
    <row r="610" spans="1:13" x14ac:dyDescent="0.25">
      <c r="A610" s="1">
        <v>401.7</v>
      </c>
      <c r="B610" s="1">
        <v>401.7</v>
      </c>
      <c r="C610" s="1">
        <f>LN(dane_7[[#This Row],[Dane wejściowe posortowane]])</f>
        <v>5.9957055413652363</v>
      </c>
      <c r="D610" s="1">
        <v>609</v>
      </c>
      <c r="G610" s="1">
        <f>dane_7[[#This Row],[Nr próbki]]/($G$1+1)</f>
        <v>0.60839160839160844</v>
      </c>
      <c r="H610" s="1">
        <f>(dane_7[[#This Row],[Logarytm naturalny]]-$I$2)/$J$2</f>
        <v>0.41095097149853932</v>
      </c>
      <c r="M610" s="1">
        <f t="shared" si="9"/>
        <v>0.65944575709306863</v>
      </c>
    </row>
    <row r="611" spans="1:13" x14ac:dyDescent="0.25">
      <c r="A611" s="1">
        <v>401.7</v>
      </c>
      <c r="B611" s="1">
        <v>401.7</v>
      </c>
      <c r="C611" s="1">
        <f>LN(dane_7[[#This Row],[Dane wejściowe posortowane]])</f>
        <v>5.9957055413652363</v>
      </c>
      <c r="D611" s="1">
        <v>610</v>
      </c>
      <c r="G611" s="1">
        <f>dane_7[[#This Row],[Nr próbki]]/($G$1+1)</f>
        <v>0.60939060939060941</v>
      </c>
      <c r="H611" s="1">
        <f>(dane_7[[#This Row],[Logarytm naturalny]]-$I$2)/$J$2</f>
        <v>0.41095097149853932</v>
      </c>
      <c r="M611" s="1">
        <f t="shared" si="9"/>
        <v>0.65944575709306863</v>
      </c>
    </row>
    <row r="612" spans="1:13" x14ac:dyDescent="0.25">
      <c r="A612" s="1">
        <v>401.7</v>
      </c>
      <c r="B612" s="1">
        <v>401.7</v>
      </c>
      <c r="C612" s="1">
        <f>LN(dane_7[[#This Row],[Dane wejściowe posortowane]])</f>
        <v>5.9957055413652363</v>
      </c>
      <c r="D612" s="1">
        <v>611</v>
      </c>
      <c r="G612" s="1">
        <f>dane_7[[#This Row],[Nr próbki]]/($G$1+1)</f>
        <v>0.61038961038961037</v>
      </c>
      <c r="H612" s="1">
        <f>(dane_7[[#This Row],[Logarytm naturalny]]-$I$2)/$J$2</f>
        <v>0.41095097149853932</v>
      </c>
      <c r="M612" s="1">
        <f t="shared" si="9"/>
        <v>0.65944575709306863</v>
      </c>
    </row>
    <row r="613" spans="1:13" x14ac:dyDescent="0.25">
      <c r="A613" s="1">
        <v>401.7</v>
      </c>
      <c r="B613" s="1">
        <v>401.7</v>
      </c>
      <c r="C613" s="1">
        <f>LN(dane_7[[#This Row],[Dane wejściowe posortowane]])</f>
        <v>5.9957055413652363</v>
      </c>
      <c r="D613" s="1">
        <v>612</v>
      </c>
      <c r="G613" s="1">
        <f>dane_7[[#This Row],[Nr próbki]]/($G$1+1)</f>
        <v>0.61138861138861134</v>
      </c>
      <c r="H613" s="1">
        <f>(dane_7[[#This Row],[Logarytm naturalny]]-$I$2)/$J$2</f>
        <v>0.41095097149853932</v>
      </c>
      <c r="M613" s="1">
        <f t="shared" si="9"/>
        <v>0.65944575709306863</v>
      </c>
    </row>
    <row r="614" spans="1:13" x14ac:dyDescent="0.25">
      <c r="A614" s="1">
        <v>401.7</v>
      </c>
      <c r="B614" s="1">
        <v>401.7</v>
      </c>
      <c r="C614" s="1">
        <f>LN(dane_7[[#This Row],[Dane wejściowe posortowane]])</f>
        <v>5.9957055413652363</v>
      </c>
      <c r="D614" s="1">
        <v>613</v>
      </c>
      <c r="G614" s="1">
        <f>dane_7[[#This Row],[Nr próbki]]/($G$1+1)</f>
        <v>0.61238761238761241</v>
      </c>
      <c r="H614" s="1">
        <f>(dane_7[[#This Row],[Logarytm naturalny]]-$I$2)/$J$2</f>
        <v>0.41095097149853932</v>
      </c>
      <c r="M614" s="1">
        <f t="shared" si="9"/>
        <v>0.65944575709306863</v>
      </c>
    </row>
    <row r="615" spans="1:13" x14ac:dyDescent="0.25">
      <c r="A615" s="1">
        <v>401.7</v>
      </c>
      <c r="B615" s="1">
        <v>401.7</v>
      </c>
      <c r="C615" s="1">
        <f>LN(dane_7[[#This Row],[Dane wejściowe posortowane]])</f>
        <v>5.9957055413652363</v>
      </c>
      <c r="D615" s="1">
        <v>614</v>
      </c>
      <c r="G615" s="1">
        <f>dane_7[[#This Row],[Nr próbki]]/($G$1+1)</f>
        <v>0.61338661338661338</v>
      </c>
      <c r="H615" s="1">
        <f>(dane_7[[#This Row],[Logarytm naturalny]]-$I$2)/$J$2</f>
        <v>0.41095097149853932</v>
      </c>
      <c r="M615" s="1">
        <f t="shared" si="9"/>
        <v>0.65944575709306863</v>
      </c>
    </row>
    <row r="616" spans="1:13" x14ac:dyDescent="0.25">
      <c r="A616" s="1">
        <v>401.7</v>
      </c>
      <c r="B616" s="1">
        <v>401.7</v>
      </c>
      <c r="C616" s="1">
        <f>LN(dane_7[[#This Row],[Dane wejściowe posortowane]])</f>
        <v>5.9957055413652363</v>
      </c>
      <c r="D616" s="1">
        <v>615</v>
      </c>
      <c r="G616" s="1">
        <f>dane_7[[#This Row],[Nr próbki]]/($G$1+1)</f>
        <v>0.61438561438561434</v>
      </c>
      <c r="H616" s="1">
        <f>(dane_7[[#This Row],[Logarytm naturalny]]-$I$2)/$J$2</f>
        <v>0.41095097149853932</v>
      </c>
      <c r="M616" s="1">
        <f t="shared" si="9"/>
        <v>0.65944575709306863</v>
      </c>
    </row>
    <row r="617" spans="1:13" x14ac:dyDescent="0.25">
      <c r="A617" s="1">
        <v>401.7</v>
      </c>
      <c r="B617" s="1">
        <v>401.7</v>
      </c>
      <c r="C617" s="1">
        <f>LN(dane_7[[#This Row],[Dane wejściowe posortowane]])</f>
        <v>5.9957055413652363</v>
      </c>
      <c r="D617" s="1">
        <v>616</v>
      </c>
      <c r="G617" s="1">
        <f>dane_7[[#This Row],[Nr próbki]]/($G$1+1)</f>
        <v>0.61538461538461542</v>
      </c>
      <c r="H617" s="1">
        <f>(dane_7[[#This Row],[Logarytm naturalny]]-$I$2)/$J$2</f>
        <v>0.41095097149853932</v>
      </c>
      <c r="M617" s="1">
        <f t="shared" si="9"/>
        <v>0.65944575709306863</v>
      </c>
    </row>
    <row r="618" spans="1:13" x14ac:dyDescent="0.25">
      <c r="A618" s="1">
        <v>401.7</v>
      </c>
      <c r="B618" s="1">
        <v>401.7</v>
      </c>
      <c r="C618" s="1">
        <f>LN(dane_7[[#This Row],[Dane wejściowe posortowane]])</f>
        <v>5.9957055413652363</v>
      </c>
      <c r="D618" s="1">
        <v>617</v>
      </c>
      <c r="G618" s="1">
        <f>dane_7[[#This Row],[Nr próbki]]/($G$1+1)</f>
        <v>0.61638361638361638</v>
      </c>
      <c r="H618" s="1">
        <f>(dane_7[[#This Row],[Logarytm naturalny]]-$I$2)/$J$2</f>
        <v>0.41095097149853932</v>
      </c>
      <c r="M618" s="1">
        <f t="shared" si="9"/>
        <v>0.65944575709306863</v>
      </c>
    </row>
    <row r="619" spans="1:13" x14ac:dyDescent="0.25">
      <c r="A619" s="1">
        <v>401.7</v>
      </c>
      <c r="B619" s="1">
        <v>401.7</v>
      </c>
      <c r="C619" s="1">
        <f>LN(dane_7[[#This Row],[Dane wejściowe posortowane]])</f>
        <v>5.9957055413652363</v>
      </c>
      <c r="D619" s="1">
        <v>618</v>
      </c>
      <c r="G619" s="1">
        <f>dane_7[[#This Row],[Nr próbki]]/($G$1+1)</f>
        <v>0.61738261738261735</v>
      </c>
      <c r="H619" s="1">
        <f>(dane_7[[#This Row],[Logarytm naturalny]]-$I$2)/$J$2</f>
        <v>0.41095097149853932</v>
      </c>
      <c r="M619" s="1">
        <f t="shared" si="9"/>
        <v>0.65944575709306863</v>
      </c>
    </row>
    <row r="620" spans="1:13" x14ac:dyDescent="0.25">
      <c r="A620" s="1">
        <v>401.7</v>
      </c>
      <c r="B620" s="1">
        <v>401.7</v>
      </c>
      <c r="C620" s="1">
        <f>LN(dane_7[[#This Row],[Dane wejściowe posortowane]])</f>
        <v>5.9957055413652363</v>
      </c>
      <c r="D620" s="1">
        <v>619</v>
      </c>
      <c r="G620" s="1">
        <f>dane_7[[#This Row],[Nr próbki]]/($G$1+1)</f>
        <v>0.61838161838161843</v>
      </c>
      <c r="H620" s="1">
        <f>(dane_7[[#This Row],[Logarytm naturalny]]-$I$2)/$J$2</f>
        <v>0.41095097149853932</v>
      </c>
      <c r="M620" s="1">
        <f t="shared" si="9"/>
        <v>0.65944575709306863</v>
      </c>
    </row>
    <row r="621" spans="1:13" x14ac:dyDescent="0.25">
      <c r="A621" s="1">
        <v>401.7</v>
      </c>
      <c r="B621" s="1">
        <v>401.7</v>
      </c>
      <c r="C621" s="1">
        <f>LN(dane_7[[#This Row],[Dane wejściowe posortowane]])</f>
        <v>5.9957055413652363</v>
      </c>
      <c r="D621" s="1">
        <v>620</v>
      </c>
      <c r="G621" s="1">
        <f>dane_7[[#This Row],[Nr próbki]]/($G$1+1)</f>
        <v>0.61938061938061939</v>
      </c>
      <c r="H621" s="1">
        <f>(dane_7[[#This Row],[Logarytm naturalny]]-$I$2)/$J$2</f>
        <v>0.41095097149853932</v>
      </c>
      <c r="M621" s="1">
        <f t="shared" si="9"/>
        <v>0.65944575709306863</v>
      </c>
    </row>
    <row r="622" spans="1:13" x14ac:dyDescent="0.25">
      <c r="A622" s="1">
        <v>401.7</v>
      </c>
      <c r="B622" s="1">
        <v>401.7</v>
      </c>
      <c r="C622" s="1">
        <f>LN(dane_7[[#This Row],[Dane wejściowe posortowane]])</f>
        <v>5.9957055413652363</v>
      </c>
      <c r="D622" s="1">
        <v>621</v>
      </c>
      <c r="G622" s="1">
        <f>dane_7[[#This Row],[Nr próbki]]/($G$1+1)</f>
        <v>0.62037962037962036</v>
      </c>
      <c r="H622" s="1">
        <f>(dane_7[[#This Row],[Logarytm naturalny]]-$I$2)/$J$2</f>
        <v>0.41095097149853932</v>
      </c>
      <c r="M622" s="1">
        <f t="shared" si="9"/>
        <v>0.65944575709306863</v>
      </c>
    </row>
    <row r="623" spans="1:13" x14ac:dyDescent="0.25">
      <c r="A623" s="1">
        <v>401.7</v>
      </c>
      <c r="B623" s="1">
        <v>401.7</v>
      </c>
      <c r="C623" s="1">
        <f>LN(dane_7[[#This Row],[Dane wejściowe posortowane]])</f>
        <v>5.9957055413652363</v>
      </c>
      <c r="D623" s="1">
        <v>622</v>
      </c>
      <c r="G623" s="1">
        <f>dane_7[[#This Row],[Nr próbki]]/($G$1+1)</f>
        <v>0.62137862137862143</v>
      </c>
      <c r="H623" s="1">
        <f>(dane_7[[#This Row],[Logarytm naturalny]]-$I$2)/$J$2</f>
        <v>0.41095097149853932</v>
      </c>
      <c r="M623" s="1">
        <f t="shared" si="9"/>
        <v>0.65944575709306863</v>
      </c>
    </row>
    <row r="624" spans="1:13" x14ac:dyDescent="0.25">
      <c r="A624" s="1">
        <v>401.7</v>
      </c>
      <c r="B624" s="1">
        <v>401.7</v>
      </c>
      <c r="C624" s="1">
        <f>LN(dane_7[[#This Row],[Dane wejściowe posortowane]])</f>
        <v>5.9957055413652363</v>
      </c>
      <c r="D624" s="1">
        <v>623</v>
      </c>
      <c r="G624" s="1">
        <f>dane_7[[#This Row],[Nr próbki]]/($G$1+1)</f>
        <v>0.6223776223776224</v>
      </c>
      <c r="H624" s="1">
        <f>(dane_7[[#This Row],[Logarytm naturalny]]-$I$2)/$J$2</f>
        <v>0.41095097149853932</v>
      </c>
      <c r="M624" s="1">
        <f t="shared" si="9"/>
        <v>0.65944575709306863</v>
      </c>
    </row>
    <row r="625" spans="1:13" x14ac:dyDescent="0.25">
      <c r="A625" s="1">
        <v>401.7</v>
      </c>
      <c r="B625" s="1">
        <v>401.7</v>
      </c>
      <c r="C625" s="1">
        <f>LN(dane_7[[#This Row],[Dane wejściowe posortowane]])</f>
        <v>5.9957055413652363</v>
      </c>
      <c r="D625" s="1">
        <v>624</v>
      </c>
      <c r="G625" s="1">
        <f>dane_7[[#This Row],[Nr próbki]]/($G$1+1)</f>
        <v>0.62337662337662336</v>
      </c>
      <c r="H625" s="1">
        <f>(dane_7[[#This Row],[Logarytm naturalny]]-$I$2)/$J$2</f>
        <v>0.41095097149853932</v>
      </c>
      <c r="M625" s="1">
        <f t="shared" si="9"/>
        <v>0.65944575709306863</v>
      </c>
    </row>
    <row r="626" spans="1:13" x14ac:dyDescent="0.25">
      <c r="A626" s="1">
        <v>401.7</v>
      </c>
      <c r="B626" s="1">
        <v>401.7</v>
      </c>
      <c r="C626" s="1">
        <f>LN(dane_7[[#This Row],[Dane wejściowe posortowane]])</f>
        <v>5.9957055413652363</v>
      </c>
      <c r="D626" s="1">
        <v>625</v>
      </c>
      <c r="G626" s="1">
        <f>dane_7[[#This Row],[Nr próbki]]/($G$1+1)</f>
        <v>0.62437562437562433</v>
      </c>
      <c r="H626" s="1">
        <f>(dane_7[[#This Row],[Logarytm naturalny]]-$I$2)/$J$2</f>
        <v>0.41095097149853932</v>
      </c>
      <c r="M626" s="1">
        <f t="shared" si="9"/>
        <v>0.65944575709306863</v>
      </c>
    </row>
    <row r="627" spans="1:13" x14ac:dyDescent="0.25">
      <c r="A627" s="1">
        <v>401.7</v>
      </c>
      <c r="B627" s="1">
        <v>401.7</v>
      </c>
      <c r="C627" s="1">
        <f>LN(dane_7[[#This Row],[Dane wejściowe posortowane]])</f>
        <v>5.9957055413652363</v>
      </c>
      <c r="D627" s="1">
        <v>626</v>
      </c>
      <c r="G627" s="1">
        <f>dane_7[[#This Row],[Nr próbki]]/($G$1+1)</f>
        <v>0.6253746253746254</v>
      </c>
      <c r="H627" s="1">
        <f>(dane_7[[#This Row],[Logarytm naturalny]]-$I$2)/$J$2</f>
        <v>0.41095097149853932</v>
      </c>
      <c r="M627" s="1">
        <f t="shared" si="9"/>
        <v>0.65944575709306863</v>
      </c>
    </row>
    <row r="628" spans="1:13" x14ac:dyDescent="0.25">
      <c r="A628" s="1">
        <v>401.7</v>
      </c>
      <c r="B628" s="1">
        <v>401.7</v>
      </c>
      <c r="C628" s="1">
        <f>LN(dane_7[[#This Row],[Dane wejściowe posortowane]])</f>
        <v>5.9957055413652363</v>
      </c>
      <c r="D628" s="1">
        <v>627</v>
      </c>
      <c r="G628" s="1">
        <f>dane_7[[#This Row],[Nr próbki]]/($G$1+1)</f>
        <v>0.62637362637362637</v>
      </c>
      <c r="H628" s="1">
        <f>(dane_7[[#This Row],[Logarytm naturalny]]-$I$2)/$J$2</f>
        <v>0.41095097149853932</v>
      </c>
      <c r="M628" s="1">
        <f t="shared" si="9"/>
        <v>0.65944575709306863</v>
      </c>
    </row>
    <row r="629" spans="1:13" x14ac:dyDescent="0.25">
      <c r="A629" s="1">
        <v>401.7</v>
      </c>
      <c r="B629" s="1">
        <v>401.7</v>
      </c>
      <c r="C629" s="1">
        <f>LN(dane_7[[#This Row],[Dane wejściowe posortowane]])</f>
        <v>5.9957055413652363</v>
      </c>
      <c r="D629" s="1">
        <v>628</v>
      </c>
      <c r="G629" s="1">
        <f>dane_7[[#This Row],[Nr próbki]]/($G$1+1)</f>
        <v>0.62737262737262733</v>
      </c>
      <c r="H629" s="1">
        <f>(dane_7[[#This Row],[Logarytm naturalny]]-$I$2)/$J$2</f>
        <v>0.41095097149853932</v>
      </c>
      <c r="M629" s="1">
        <f t="shared" si="9"/>
        <v>0.65944575709306863</v>
      </c>
    </row>
    <row r="630" spans="1:13" x14ac:dyDescent="0.25">
      <c r="A630" s="1">
        <v>401.7</v>
      </c>
      <c r="B630" s="1">
        <v>401.7</v>
      </c>
      <c r="C630" s="1">
        <f>LN(dane_7[[#This Row],[Dane wejściowe posortowane]])</f>
        <v>5.9957055413652363</v>
      </c>
      <c r="D630" s="1">
        <v>629</v>
      </c>
      <c r="G630" s="1">
        <f>dane_7[[#This Row],[Nr próbki]]/($G$1+1)</f>
        <v>0.62837162837162841</v>
      </c>
      <c r="H630" s="1">
        <f>(dane_7[[#This Row],[Logarytm naturalny]]-$I$2)/$J$2</f>
        <v>0.41095097149853932</v>
      </c>
      <c r="M630" s="1">
        <f t="shared" si="9"/>
        <v>0.65944575709306863</v>
      </c>
    </row>
    <row r="631" spans="1:13" x14ac:dyDescent="0.25">
      <c r="A631" s="1">
        <v>401.7</v>
      </c>
      <c r="B631" s="1">
        <v>401.7</v>
      </c>
      <c r="C631" s="1">
        <f>LN(dane_7[[#This Row],[Dane wejściowe posortowane]])</f>
        <v>5.9957055413652363</v>
      </c>
      <c r="D631" s="1">
        <v>630</v>
      </c>
      <c r="G631" s="1">
        <f>dane_7[[#This Row],[Nr próbki]]/($G$1+1)</f>
        <v>0.62937062937062938</v>
      </c>
      <c r="H631" s="1">
        <f>(dane_7[[#This Row],[Logarytm naturalny]]-$I$2)/$J$2</f>
        <v>0.41095097149853932</v>
      </c>
      <c r="M631" s="1">
        <f t="shared" si="9"/>
        <v>0.65944575709306863</v>
      </c>
    </row>
    <row r="632" spans="1:13" x14ac:dyDescent="0.25">
      <c r="A632" s="1">
        <v>401.7</v>
      </c>
      <c r="B632" s="1">
        <v>401.7</v>
      </c>
      <c r="C632" s="1">
        <f>LN(dane_7[[#This Row],[Dane wejściowe posortowane]])</f>
        <v>5.9957055413652363</v>
      </c>
      <c r="D632" s="1">
        <v>631</v>
      </c>
      <c r="G632" s="1">
        <f>dane_7[[#This Row],[Nr próbki]]/($G$1+1)</f>
        <v>0.63036963036963034</v>
      </c>
      <c r="H632" s="1">
        <f>(dane_7[[#This Row],[Logarytm naturalny]]-$I$2)/$J$2</f>
        <v>0.41095097149853932</v>
      </c>
      <c r="M632" s="1">
        <f t="shared" si="9"/>
        <v>0.65944575709306863</v>
      </c>
    </row>
    <row r="633" spans="1:13" x14ac:dyDescent="0.25">
      <c r="A633" s="1">
        <v>401.7</v>
      </c>
      <c r="B633" s="1">
        <v>401.7</v>
      </c>
      <c r="C633" s="1">
        <f>LN(dane_7[[#This Row],[Dane wejściowe posortowane]])</f>
        <v>5.9957055413652363</v>
      </c>
      <c r="D633" s="1">
        <v>632</v>
      </c>
      <c r="G633" s="1">
        <f>dane_7[[#This Row],[Nr próbki]]/($G$1+1)</f>
        <v>0.63136863136863142</v>
      </c>
      <c r="H633" s="1">
        <f>(dane_7[[#This Row],[Logarytm naturalny]]-$I$2)/$J$2</f>
        <v>0.41095097149853932</v>
      </c>
      <c r="M633" s="1">
        <f t="shared" si="9"/>
        <v>0.65944575709306863</v>
      </c>
    </row>
    <row r="634" spans="1:13" x14ac:dyDescent="0.25">
      <c r="A634" s="1">
        <v>401.7</v>
      </c>
      <c r="B634" s="1">
        <v>401.7</v>
      </c>
      <c r="C634" s="1">
        <f>LN(dane_7[[#This Row],[Dane wejściowe posortowane]])</f>
        <v>5.9957055413652363</v>
      </c>
      <c r="D634" s="1">
        <v>633</v>
      </c>
      <c r="G634" s="1">
        <f>dane_7[[#This Row],[Nr próbki]]/($G$1+1)</f>
        <v>0.63236763236763238</v>
      </c>
      <c r="H634" s="1">
        <f>(dane_7[[#This Row],[Logarytm naturalny]]-$I$2)/$J$2</f>
        <v>0.41095097149853932</v>
      </c>
      <c r="M634" s="1">
        <f t="shared" si="9"/>
        <v>0.65944575709306863</v>
      </c>
    </row>
    <row r="635" spans="1:13" x14ac:dyDescent="0.25">
      <c r="A635" s="1">
        <v>401.7</v>
      </c>
      <c r="B635" s="1">
        <v>401.7</v>
      </c>
      <c r="C635" s="1">
        <f>LN(dane_7[[#This Row],[Dane wejściowe posortowane]])</f>
        <v>5.9957055413652363</v>
      </c>
      <c r="D635" s="1">
        <v>634</v>
      </c>
      <c r="G635" s="1">
        <f>dane_7[[#This Row],[Nr próbki]]/($G$1+1)</f>
        <v>0.63336663336663335</v>
      </c>
      <c r="H635" s="1">
        <f>(dane_7[[#This Row],[Logarytm naturalny]]-$I$2)/$J$2</f>
        <v>0.41095097149853932</v>
      </c>
      <c r="M635" s="1">
        <f t="shared" si="9"/>
        <v>0.65944575709306863</v>
      </c>
    </row>
    <row r="636" spans="1:13" x14ac:dyDescent="0.25">
      <c r="A636" s="1">
        <v>401.7</v>
      </c>
      <c r="B636" s="1">
        <v>401.7</v>
      </c>
      <c r="C636" s="1">
        <f>LN(dane_7[[#This Row],[Dane wejściowe posortowane]])</f>
        <v>5.9957055413652363</v>
      </c>
      <c r="D636" s="1">
        <v>635</v>
      </c>
      <c r="G636" s="1">
        <f>dane_7[[#This Row],[Nr próbki]]/($G$1+1)</f>
        <v>0.63436563436563431</v>
      </c>
      <c r="H636" s="1">
        <f>(dane_7[[#This Row],[Logarytm naturalny]]-$I$2)/$J$2</f>
        <v>0.41095097149853932</v>
      </c>
      <c r="M636" s="1">
        <f t="shared" si="9"/>
        <v>0.65944575709306863</v>
      </c>
    </row>
    <row r="637" spans="1:13" x14ac:dyDescent="0.25">
      <c r="A637" s="1">
        <v>401.8</v>
      </c>
      <c r="B637" s="1">
        <v>401.8</v>
      </c>
      <c r="C637" s="1">
        <f>LN(dane_7[[#This Row],[Dane wejściowe posortowane]])</f>
        <v>5.9959544523808344</v>
      </c>
      <c r="D637" s="1">
        <v>636</v>
      </c>
      <c r="G637" s="1">
        <f>dane_7[[#This Row],[Nr próbki]]/($G$1+1)</f>
        <v>0.63536463536463539</v>
      </c>
      <c r="H637" s="1">
        <f>(dane_7[[#This Row],[Logarytm naturalny]]-$I$2)/$J$2</f>
        <v>0.44522658881691507</v>
      </c>
      <c r="M637" s="1">
        <f t="shared" si="9"/>
        <v>0.67192199317606527</v>
      </c>
    </row>
    <row r="638" spans="1:13" x14ac:dyDescent="0.25">
      <c r="A638" s="1">
        <v>401.8</v>
      </c>
      <c r="B638" s="1">
        <v>401.8</v>
      </c>
      <c r="C638" s="1">
        <f>LN(dane_7[[#This Row],[Dane wejściowe posortowane]])</f>
        <v>5.9959544523808344</v>
      </c>
      <c r="D638" s="1">
        <v>637</v>
      </c>
      <c r="G638" s="1">
        <f>dane_7[[#This Row],[Nr próbki]]/($G$1+1)</f>
        <v>0.63636363636363635</v>
      </c>
      <c r="H638" s="1">
        <f>(dane_7[[#This Row],[Logarytm naturalny]]-$I$2)/$J$2</f>
        <v>0.44522658881691507</v>
      </c>
      <c r="M638" s="1">
        <f t="shared" si="9"/>
        <v>0.67192199317606527</v>
      </c>
    </row>
    <row r="639" spans="1:13" x14ac:dyDescent="0.25">
      <c r="A639" s="1">
        <v>401.8</v>
      </c>
      <c r="B639" s="1">
        <v>401.8</v>
      </c>
      <c r="C639" s="1">
        <f>LN(dane_7[[#This Row],[Dane wejściowe posortowane]])</f>
        <v>5.9959544523808344</v>
      </c>
      <c r="D639" s="1">
        <v>638</v>
      </c>
      <c r="G639" s="1">
        <f>dane_7[[#This Row],[Nr próbki]]/($G$1+1)</f>
        <v>0.63736263736263732</v>
      </c>
      <c r="H639" s="1">
        <f>(dane_7[[#This Row],[Logarytm naturalny]]-$I$2)/$J$2</f>
        <v>0.44522658881691507</v>
      </c>
      <c r="M639" s="1">
        <f t="shared" si="9"/>
        <v>0.67192199317606527</v>
      </c>
    </row>
    <row r="640" spans="1:13" x14ac:dyDescent="0.25">
      <c r="A640" s="1">
        <v>401.8</v>
      </c>
      <c r="B640" s="1">
        <v>401.8</v>
      </c>
      <c r="C640" s="1">
        <f>LN(dane_7[[#This Row],[Dane wejściowe posortowane]])</f>
        <v>5.9959544523808344</v>
      </c>
      <c r="D640" s="1">
        <v>639</v>
      </c>
      <c r="G640" s="1">
        <f>dane_7[[#This Row],[Nr próbki]]/($G$1+1)</f>
        <v>0.63836163836163839</v>
      </c>
      <c r="H640" s="1">
        <f>(dane_7[[#This Row],[Logarytm naturalny]]-$I$2)/$J$2</f>
        <v>0.44522658881691507</v>
      </c>
      <c r="M640" s="1">
        <f t="shared" si="9"/>
        <v>0.67192199317606527</v>
      </c>
    </row>
    <row r="641" spans="1:13" x14ac:dyDescent="0.25">
      <c r="A641" s="1">
        <v>401.8</v>
      </c>
      <c r="B641" s="1">
        <v>401.8</v>
      </c>
      <c r="C641" s="1">
        <f>LN(dane_7[[#This Row],[Dane wejściowe posortowane]])</f>
        <v>5.9959544523808344</v>
      </c>
      <c r="D641" s="1">
        <v>640</v>
      </c>
      <c r="G641" s="1">
        <f>dane_7[[#This Row],[Nr próbki]]/($G$1+1)</f>
        <v>0.63936063936063936</v>
      </c>
      <c r="H641" s="1">
        <f>(dane_7[[#This Row],[Logarytm naturalny]]-$I$2)/$J$2</f>
        <v>0.44522658881691507</v>
      </c>
      <c r="M641" s="1">
        <f t="shared" si="9"/>
        <v>0.67192199317606527</v>
      </c>
    </row>
    <row r="642" spans="1:13" x14ac:dyDescent="0.25">
      <c r="A642" s="1">
        <v>401.8</v>
      </c>
      <c r="B642" s="1">
        <v>401.8</v>
      </c>
      <c r="C642" s="1">
        <f>LN(dane_7[[#This Row],[Dane wejściowe posortowane]])</f>
        <v>5.9959544523808344</v>
      </c>
      <c r="D642" s="1">
        <v>641</v>
      </c>
      <c r="G642" s="1">
        <f>dane_7[[#This Row],[Nr próbki]]/($G$1+1)</f>
        <v>0.64035964035964033</v>
      </c>
      <c r="H642" s="1">
        <f>(dane_7[[#This Row],[Logarytm naturalny]]-$I$2)/$J$2</f>
        <v>0.44522658881691507</v>
      </c>
      <c r="M642" s="1">
        <f t="shared" si="9"/>
        <v>0.67192199317606527</v>
      </c>
    </row>
    <row r="643" spans="1:13" x14ac:dyDescent="0.25">
      <c r="A643" s="1">
        <v>401.8</v>
      </c>
      <c r="B643" s="1">
        <v>401.8</v>
      </c>
      <c r="C643" s="1">
        <f>LN(dane_7[[#This Row],[Dane wejściowe posortowane]])</f>
        <v>5.9959544523808344</v>
      </c>
      <c r="D643" s="1">
        <v>642</v>
      </c>
      <c r="G643" s="1">
        <f>dane_7[[#This Row],[Nr próbki]]/($G$1+1)</f>
        <v>0.6413586413586414</v>
      </c>
      <c r="H643" s="1">
        <f>(dane_7[[#This Row],[Logarytm naturalny]]-$I$2)/$J$2</f>
        <v>0.44522658881691507</v>
      </c>
      <c r="M643" s="1">
        <f t="shared" ref="M643:M706" si="10">LOGNORMDIST(B643:B1642,$I$2,$J$2)</f>
        <v>0.67192199317606527</v>
      </c>
    </row>
    <row r="644" spans="1:13" x14ac:dyDescent="0.25">
      <c r="A644" s="1">
        <v>401.8</v>
      </c>
      <c r="B644" s="1">
        <v>401.8</v>
      </c>
      <c r="C644" s="1">
        <f>LN(dane_7[[#This Row],[Dane wejściowe posortowane]])</f>
        <v>5.9959544523808344</v>
      </c>
      <c r="D644" s="1">
        <v>643</v>
      </c>
      <c r="G644" s="1">
        <f>dane_7[[#This Row],[Nr próbki]]/($G$1+1)</f>
        <v>0.64235764235764237</v>
      </c>
      <c r="H644" s="1">
        <f>(dane_7[[#This Row],[Logarytm naturalny]]-$I$2)/$J$2</f>
        <v>0.44522658881691507</v>
      </c>
      <c r="M644" s="1">
        <f t="shared" si="10"/>
        <v>0.67192199317606527</v>
      </c>
    </row>
    <row r="645" spans="1:13" x14ac:dyDescent="0.25">
      <c r="A645" s="1">
        <v>401.8</v>
      </c>
      <c r="B645" s="1">
        <v>401.8</v>
      </c>
      <c r="C645" s="1">
        <f>LN(dane_7[[#This Row],[Dane wejściowe posortowane]])</f>
        <v>5.9959544523808344</v>
      </c>
      <c r="D645" s="1">
        <v>644</v>
      </c>
      <c r="G645" s="1">
        <f>dane_7[[#This Row],[Nr próbki]]/($G$1+1)</f>
        <v>0.64335664335664333</v>
      </c>
      <c r="H645" s="1">
        <f>(dane_7[[#This Row],[Logarytm naturalny]]-$I$2)/$J$2</f>
        <v>0.44522658881691507</v>
      </c>
      <c r="M645" s="1">
        <f t="shared" si="10"/>
        <v>0.67192199317606527</v>
      </c>
    </row>
    <row r="646" spans="1:13" x14ac:dyDescent="0.25">
      <c r="A646" s="1">
        <v>401.8</v>
      </c>
      <c r="B646" s="1">
        <v>401.8</v>
      </c>
      <c r="C646" s="1">
        <f>LN(dane_7[[#This Row],[Dane wejściowe posortowane]])</f>
        <v>5.9959544523808344</v>
      </c>
      <c r="D646" s="1">
        <v>645</v>
      </c>
      <c r="G646" s="1">
        <f>dane_7[[#This Row],[Nr próbki]]/($G$1+1)</f>
        <v>0.64435564435564441</v>
      </c>
      <c r="H646" s="1">
        <f>(dane_7[[#This Row],[Logarytm naturalny]]-$I$2)/$J$2</f>
        <v>0.44522658881691507</v>
      </c>
      <c r="M646" s="1">
        <f t="shared" si="10"/>
        <v>0.67192199317606527</v>
      </c>
    </row>
    <row r="647" spans="1:13" x14ac:dyDescent="0.25">
      <c r="A647" s="1">
        <v>401.8</v>
      </c>
      <c r="B647" s="1">
        <v>401.8</v>
      </c>
      <c r="C647" s="1">
        <f>LN(dane_7[[#This Row],[Dane wejściowe posortowane]])</f>
        <v>5.9959544523808344</v>
      </c>
      <c r="D647" s="1">
        <v>646</v>
      </c>
      <c r="G647" s="1">
        <f>dane_7[[#This Row],[Nr próbki]]/($G$1+1)</f>
        <v>0.64535464535464537</v>
      </c>
      <c r="H647" s="1">
        <f>(dane_7[[#This Row],[Logarytm naturalny]]-$I$2)/$J$2</f>
        <v>0.44522658881691507</v>
      </c>
      <c r="M647" s="1">
        <f t="shared" si="10"/>
        <v>0.67192199317606527</v>
      </c>
    </row>
    <row r="648" spans="1:13" x14ac:dyDescent="0.25">
      <c r="A648" s="1">
        <v>401.8</v>
      </c>
      <c r="B648" s="1">
        <v>401.8</v>
      </c>
      <c r="C648" s="1">
        <f>LN(dane_7[[#This Row],[Dane wejściowe posortowane]])</f>
        <v>5.9959544523808344</v>
      </c>
      <c r="D648" s="1">
        <v>647</v>
      </c>
      <c r="G648" s="1">
        <f>dane_7[[#This Row],[Nr próbki]]/($G$1+1)</f>
        <v>0.64635364635364634</v>
      </c>
      <c r="H648" s="1">
        <f>(dane_7[[#This Row],[Logarytm naturalny]]-$I$2)/$J$2</f>
        <v>0.44522658881691507</v>
      </c>
      <c r="M648" s="1">
        <f t="shared" si="10"/>
        <v>0.67192199317606527</v>
      </c>
    </row>
    <row r="649" spans="1:13" x14ac:dyDescent="0.25">
      <c r="A649" s="1">
        <v>401.8</v>
      </c>
      <c r="B649" s="1">
        <v>401.8</v>
      </c>
      <c r="C649" s="1">
        <f>LN(dane_7[[#This Row],[Dane wejściowe posortowane]])</f>
        <v>5.9959544523808344</v>
      </c>
      <c r="D649" s="1">
        <v>648</v>
      </c>
      <c r="G649" s="1">
        <f>dane_7[[#This Row],[Nr próbki]]/($G$1+1)</f>
        <v>0.6473526473526473</v>
      </c>
      <c r="H649" s="1">
        <f>(dane_7[[#This Row],[Logarytm naturalny]]-$I$2)/$J$2</f>
        <v>0.44522658881691507</v>
      </c>
      <c r="M649" s="1">
        <f t="shared" si="10"/>
        <v>0.67192199317606527</v>
      </c>
    </row>
    <row r="650" spans="1:13" x14ac:dyDescent="0.25">
      <c r="A650" s="1">
        <v>401.8</v>
      </c>
      <c r="B650" s="1">
        <v>401.8</v>
      </c>
      <c r="C650" s="1">
        <f>LN(dane_7[[#This Row],[Dane wejściowe posortowane]])</f>
        <v>5.9959544523808344</v>
      </c>
      <c r="D650" s="1">
        <v>649</v>
      </c>
      <c r="G650" s="1">
        <f>dane_7[[#This Row],[Nr próbki]]/($G$1+1)</f>
        <v>0.64835164835164838</v>
      </c>
      <c r="H650" s="1">
        <f>(dane_7[[#This Row],[Logarytm naturalny]]-$I$2)/$J$2</f>
        <v>0.44522658881691507</v>
      </c>
      <c r="M650" s="1">
        <f t="shared" si="10"/>
        <v>0.67192199317606527</v>
      </c>
    </row>
    <row r="651" spans="1:13" x14ac:dyDescent="0.25">
      <c r="A651" s="1">
        <v>401.8</v>
      </c>
      <c r="B651" s="1">
        <v>401.8</v>
      </c>
      <c r="C651" s="1">
        <f>LN(dane_7[[#This Row],[Dane wejściowe posortowane]])</f>
        <v>5.9959544523808344</v>
      </c>
      <c r="D651" s="1">
        <v>650</v>
      </c>
      <c r="G651" s="1">
        <f>dane_7[[#This Row],[Nr próbki]]/($G$1+1)</f>
        <v>0.64935064935064934</v>
      </c>
      <c r="H651" s="1">
        <f>(dane_7[[#This Row],[Logarytm naturalny]]-$I$2)/$J$2</f>
        <v>0.44522658881691507</v>
      </c>
      <c r="M651" s="1">
        <f t="shared" si="10"/>
        <v>0.67192199317606527</v>
      </c>
    </row>
    <row r="652" spans="1:13" x14ac:dyDescent="0.25">
      <c r="A652" s="1">
        <v>401.8</v>
      </c>
      <c r="B652" s="1">
        <v>401.8</v>
      </c>
      <c r="C652" s="1">
        <f>LN(dane_7[[#This Row],[Dane wejściowe posortowane]])</f>
        <v>5.9959544523808344</v>
      </c>
      <c r="D652" s="1">
        <v>651</v>
      </c>
      <c r="G652" s="1">
        <f>dane_7[[#This Row],[Nr próbki]]/($G$1+1)</f>
        <v>0.65034965034965031</v>
      </c>
      <c r="H652" s="1">
        <f>(dane_7[[#This Row],[Logarytm naturalny]]-$I$2)/$J$2</f>
        <v>0.44522658881691507</v>
      </c>
      <c r="M652" s="1">
        <f t="shared" si="10"/>
        <v>0.67192199317606527</v>
      </c>
    </row>
    <row r="653" spans="1:13" x14ac:dyDescent="0.25">
      <c r="A653" s="1">
        <v>401.8</v>
      </c>
      <c r="B653" s="1">
        <v>401.8</v>
      </c>
      <c r="C653" s="1">
        <f>LN(dane_7[[#This Row],[Dane wejściowe posortowane]])</f>
        <v>5.9959544523808344</v>
      </c>
      <c r="D653" s="1">
        <v>652</v>
      </c>
      <c r="G653" s="1">
        <f>dane_7[[#This Row],[Nr próbki]]/($G$1+1)</f>
        <v>0.65134865134865139</v>
      </c>
      <c r="H653" s="1">
        <f>(dane_7[[#This Row],[Logarytm naturalny]]-$I$2)/$J$2</f>
        <v>0.44522658881691507</v>
      </c>
      <c r="M653" s="1">
        <f t="shared" si="10"/>
        <v>0.67192199317606527</v>
      </c>
    </row>
    <row r="654" spans="1:13" x14ac:dyDescent="0.25">
      <c r="A654" s="1">
        <v>401.8</v>
      </c>
      <c r="B654" s="1">
        <v>401.8</v>
      </c>
      <c r="C654" s="1">
        <f>LN(dane_7[[#This Row],[Dane wejściowe posortowane]])</f>
        <v>5.9959544523808344</v>
      </c>
      <c r="D654" s="1">
        <v>653</v>
      </c>
      <c r="G654" s="1">
        <f>dane_7[[#This Row],[Nr próbki]]/($G$1+1)</f>
        <v>0.65234765234765235</v>
      </c>
      <c r="H654" s="1">
        <f>(dane_7[[#This Row],[Logarytm naturalny]]-$I$2)/$J$2</f>
        <v>0.44522658881691507</v>
      </c>
      <c r="M654" s="1">
        <f t="shared" si="10"/>
        <v>0.67192199317606527</v>
      </c>
    </row>
    <row r="655" spans="1:13" x14ac:dyDescent="0.25">
      <c r="A655" s="1">
        <v>401.8</v>
      </c>
      <c r="B655" s="1">
        <v>401.8</v>
      </c>
      <c r="C655" s="1">
        <f>LN(dane_7[[#This Row],[Dane wejściowe posortowane]])</f>
        <v>5.9959544523808344</v>
      </c>
      <c r="D655" s="1">
        <v>654</v>
      </c>
      <c r="G655" s="1">
        <f>dane_7[[#This Row],[Nr próbki]]/($G$1+1)</f>
        <v>0.65334665334665332</v>
      </c>
      <c r="H655" s="1">
        <f>(dane_7[[#This Row],[Logarytm naturalny]]-$I$2)/$J$2</f>
        <v>0.44522658881691507</v>
      </c>
      <c r="M655" s="1">
        <f t="shared" si="10"/>
        <v>0.67192199317606527</v>
      </c>
    </row>
    <row r="656" spans="1:13" x14ac:dyDescent="0.25">
      <c r="A656" s="1">
        <v>401.8</v>
      </c>
      <c r="B656" s="1">
        <v>401.8</v>
      </c>
      <c r="C656" s="1">
        <f>LN(dane_7[[#This Row],[Dane wejściowe posortowane]])</f>
        <v>5.9959544523808344</v>
      </c>
      <c r="D656" s="1">
        <v>655</v>
      </c>
      <c r="G656" s="1">
        <f>dane_7[[#This Row],[Nr próbki]]/($G$1+1)</f>
        <v>0.65434565434565439</v>
      </c>
      <c r="H656" s="1">
        <f>(dane_7[[#This Row],[Logarytm naturalny]]-$I$2)/$J$2</f>
        <v>0.44522658881691507</v>
      </c>
      <c r="M656" s="1">
        <f t="shared" si="10"/>
        <v>0.67192199317606527</v>
      </c>
    </row>
    <row r="657" spans="1:13" x14ac:dyDescent="0.25">
      <c r="A657" s="1">
        <v>401.8</v>
      </c>
      <c r="B657" s="1">
        <v>401.8</v>
      </c>
      <c r="C657" s="1">
        <f>LN(dane_7[[#This Row],[Dane wejściowe posortowane]])</f>
        <v>5.9959544523808344</v>
      </c>
      <c r="D657" s="1">
        <v>656</v>
      </c>
      <c r="G657" s="1">
        <f>dane_7[[#This Row],[Nr próbki]]/($G$1+1)</f>
        <v>0.65534465534465536</v>
      </c>
      <c r="H657" s="1">
        <f>(dane_7[[#This Row],[Logarytm naturalny]]-$I$2)/$J$2</f>
        <v>0.44522658881691507</v>
      </c>
      <c r="M657" s="1">
        <f t="shared" si="10"/>
        <v>0.67192199317606527</v>
      </c>
    </row>
    <row r="658" spans="1:13" x14ac:dyDescent="0.25">
      <c r="A658" s="1">
        <v>401.8</v>
      </c>
      <c r="B658" s="1">
        <v>401.8</v>
      </c>
      <c r="C658" s="1">
        <f>LN(dane_7[[#This Row],[Dane wejściowe posortowane]])</f>
        <v>5.9959544523808344</v>
      </c>
      <c r="D658" s="1">
        <v>657</v>
      </c>
      <c r="G658" s="1">
        <f>dane_7[[#This Row],[Nr próbki]]/($G$1+1)</f>
        <v>0.65634365634365632</v>
      </c>
      <c r="H658" s="1">
        <f>(dane_7[[#This Row],[Logarytm naturalny]]-$I$2)/$J$2</f>
        <v>0.44522658881691507</v>
      </c>
      <c r="M658" s="1">
        <f t="shared" si="10"/>
        <v>0.67192199317606527</v>
      </c>
    </row>
    <row r="659" spans="1:13" x14ac:dyDescent="0.25">
      <c r="A659" s="1">
        <v>401.8</v>
      </c>
      <c r="B659" s="1">
        <v>401.8</v>
      </c>
      <c r="C659" s="1">
        <f>LN(dane_7[[#This Row],[Dane wejściowe posortowane]])</f>
        <v>5.9959544523808344</v>
      </c>
      <c r="D659" s="1">
        <v>658</v>
      </c>
      <c r="G659" s="1">
        <f>dane_7[[#This Row],[Nr próbki]]/($G$1+1)</f>
        <v>0.65734265734265729</v>
      </c>
      <c r="H659" s="1">
        <f>(dane_7[[#This Row],[Logarytm naturalny]]-$I$2)/$J$2</f>
        <v>0.44522658881691507</v>
      </c>
      <c r="M659" s="1">
        <f t="shared" si="10"/>
        <v>0.67192199317606527</v>
      </c>
    </row>
    <row r="660" spans="1:13" x14ac:dyDescent="0.25">
      <c r="A660" s="1">
        <v>401.8</v>
      </c>
      <c r="B660" s="1">
        <v>401.8</v>
      </c>
      <c r="C660" s="1">
        <f>LN(dane_7[[#This Row],[Dane wejściowe posortowane]])</f>
        <v>5.9959544523808344</v>
      </c>
      <c r="D660" s="1">
        <v>659</v>
      </c>
      <c r="G660" s="1">
        <f>dane_7[[#This Row],[Nr próbki]]/($G$1+1)</f>
        <v>0.65834165834165836</v>
      </c>
      <c r="H660" s="1">
        <f>(dane_7[[#This Row],[Logarytm naturalny]]-$I$2)/$J$2</f>
        <v>0.44522658881691507</v>
      </c>
      <c r="M660" s="1">
        <f t="shared" si="10"/>
        <v>0.67192199317606527</v>
      </c>
    </row>
    <row r="661" spans="1:13" x14ac:dyDescent="0.25">
      <c r="A661" s="1">
        <v>401.8</v>
      </c>
      <c r="B661" s="1">
        <v>401.8</v>
      </c>
      <c r="C661" s="1">
        <f>LN(dane_7[[#This Row],[Dane wejściowe posortowane]])</f>
        <v>5.9959544523808344</v>
      </c>
      <c r="D661" s="1">
        <v>660</v>
      </c>
      <c r="G661" s="1">
        <f>dane_7[[#This Row],[Nr próbki]]/($G$1+1)</f>
        <v>0.65934065934065933</v>
      </c>
      <c r="H661" s="1">
        <f>(dane_7[[#This Row],[Logarytm naturalny]]-$I$2)/$J$2</f>
        <v>0.44522658881691507</v>
      </c>
      <c r="M661" s="1">
        <f t="shared" si="10"/>
        <v>0.67192199317606527</v>
      </c>
    </row>
    <row r="662" spans="1:13" x14ac:dyDescent="0.25">
      <c r="A662" s="1">
        <v>401.8</v>
      </c>
      <c r="B662" s="1">
        <v>401.8</v>
      </c>
      <c r="C662" s="1">
        <f>LN(dane_7[[#This Row],[Dane wejściowe posortowane]])</f>
        <v>5.9959544523808344</v>
      </c>
      <c r="D662" s="1">
        <v>661</v>
      </c>
      <c r="G662" s="1">
        <f>dane_7[[#This Row],[Nr próbki]]/($G$1+1)</f>
        <v>0.66033966033966029</v>
      </c>
      <c r="H662" s="1">
        <f>(dane_7[[#This Row],[Logarytm naturalny]]-$I$2)/$J$2</f>
        <v>0.44522658881691507</v>
      </c>
      <c r="M662" s="1">
        <f t="shared" si="10"/>
        <v>0.67192199317606527</v>
      </c>
    </row>
    <row r="663" spans="1:13" x14ac:dyDescent="0.25">
      <c r="A663" s="1">
        <v>401.8</v>
      </c>
      <c r="B663" s="1">
        <v>401.8</v>
      </c>
      <c r="C663" s="1">
        <f>LN(dane_7[[#This Row],[Dane wejściowe posortowane]])</f>
        <v>5.9959544523808344</v>
      </c>
      <c r="D663" s="1">
        <v>662</v>
      </c>
      <c r="G663" s="1">
        <f>dane_7[[#This Row],[Nr próbki]]/($G$1+1)</f>
        <v>0.66133866133866137</v>
      </c>
      <c r="H663" s="1">
        <f>(dane_7[[#This Row],[Logarytm naturalny]]-$I$2)/$J$2</f>
        <v>0.44522658881691507</v>
      </c>
      <c r="M663" s="1">
        <f t="shared" si="10"/>
        <v>0.67192199317606527</v>
      </c>
    </row>
    <row r="664" spans="1:13" x14ac:dyDescent="0.25">
      <c r="A664" s="1">
        <v>401.8</v>
      </c>
      <c r="B664" s="1">
        <v>401.8</v>
      </c>
      <c r="C664" s="1">
        <f>LN(dane_7[[#This Row],[Dane wejściowe posortowane]])</f>
        <v>5.9959544523808344</v>
      </c>
      <c r="D664" s="1">
        <v>663</v>
      </c>
      <c r="G664" s="1">
        <f>dane_7[[#This Row],[Nr próbki]]/($G$1+1)</f>
        <v>0.66233766233766234</v>
      </c>
      <c r="H664" s="1">
        <f>(dane_7[[#This Row],[Logarytm naturalny]]-$I$2)/$J$2</f>
        <v>0.44522658881691507</v>
      </c>
      <c r="M664" s="1">
        <f t="shared" si="10"/>
        <v>0.67192199317606527</v>
      </c>
    </row>
    <row r="665" spans="1:13" x14ac:dyDescent="0.25">
      <c r="A665" s="1">
        <v>401.8</v>
      </c>
      <c r="B665" s="1">
        <v>401.8</v>
      </c>
      <c r="C665" s="1">
        <f>LN(dane_7[[#This Row],[Dane wejściowe posortowane]])</f>
        <v>5.9959544523808344</v>
      </c>
      <c r="D665" s="1">
        <v>664</v>
      </c>
      <c r="G665" s="1">
        <f>dane_7[[#This Row],[Nr próbki]]/($G$1+1)</f>
        <v>0.6633366633366633</v>
      </c>
      <c r="H665" s="1">
        <f>(dane_7[[#This Row],[Logarytm naturalny]]-$I$2)/$J$2</f>
        <v>0.44522658881691507</v>
      </c>
      <c r="M665" s="1">
        <f t="shared" si="10"/>
        <v>0.67192199317606527</v>
      </c>
    </row>
    <row r="666" spans="1:13" x14ac:dyDescent="0.25">
      <c r="A666" s="1">
        <v>401.9</v>
      </c>
      <c r="B666" s="1">
        <v>401.9</v>
      </c>
      <c r="C666" s="1">
        <f>LN(dane_7[[#This Row],[Dane wejściowe posortowane]])</f>
        <v>5.9962033014551555</v>
      </c>
      <c r="D666" s="1">
        <v>665</v>
      </c>
      <c r="G666" s="1">
        <f>dane_7[[#This Row],[Nr próbki]]/($G$1+1)</f>
        <v>0.66433566433566438</v>
      </c>
      <c r="H666" s="1">
        <f>(dane_7[[#This Row],[Logarytm naturalny]]-$I$2)/$J$2</f>
        <v>0.47949367667948739</v>
      </c>
      <c r="M666" s="1">
        <f t="shared" si="10"/>
        <v>0.68420626720439615</v>
      </c>
    </row>
    <row r="667" spans="1:13" x14ac:dyDescent="0.25">
      <c r="A667" s="1">
        <v>401.9</v>
      </c>
      <c r="B667" s="1">
        <v>401.9</v>
      </c>
      <c r="C667" s="1">
        <f>LN(dane_7[[#This Row],[Dane wejściowe posortowane]])</f>
        <v>5.9962033014551555</v>
      </c>
      <c r="D667" s="1">
        <v>666</v>
      </c>
      <c r="G667" s="1">
        <f>dane_7[[#This Row],[Nr próbki]]/($G$1+1)</f>
        <v>0.66533466533466534</v>
      </c>
      <c r="H667" s="1">
        <f>(dane_7[[#This Row],[Logarytm naturalny]]-$I$2)/$J$2</f>
        <v>0.47949367667948739</v>
      </c>
      <c r="M667" s="1">
        <f t="shared" si="10"/>
        <v>0.68420626720439615</v>
      </c>
    </row>
    <row r="668" spans="1:13" x14ac:dyDescent="0.25">
      <c r="A668" s="1">
        <v>401.9</v>
      </c>
      <c r="B668" s="1">
        <v>401.9</v>
      </c>
      <c r="C668" s="1">
        <f>LN(dane_7[[#This Row],[Dane wejściowe posortowane]])</f>
        <v>5.9962033014551555</v>
      </c>
      <c r="D668" s="1">
        <v>667</v>
      </c>
      <c r="G668" s="1">
        <f>dane_7[[#This Row],[Nr próbki]]/($G$1+1)</f>
        <v>0.66633366633366631</v>
      </c>
      <c r="H668" s="1">
        <f>(dane_7[[#This Row],[Logarytm naturalny]]-$I$2)/$J$2</f>
        <v>0.47949367667948739</v>
      </c>
      <c r="M668" s="1">
        <f t="shared" si="10"/>
        <v>0.68420626720439615</v>
      </c>
    </row>
    <row r="669" spans="1:13" x14ac:dyDescent="0.25">
      <c r="A669" s="1">
        <v>401.9</v>
      </c>
      <c r="B669" s="1">
        <v>401.9</v>
      </c>
      <c r="C669" s="1">
        <f>LN(dane_7[[#This Row],[Dane wejściowe posortowane]])</f>
        <v>5.9962033014551555</v>
      </c>
      <c r="D669" s="1">
        <v>668</v>
      </c>
      <c r="G669" s="1">
        <f>dane_7[[#This Row],[Nr próbki]]/($G$1+1)</f>
        <v>0.66733266733266738</v>
      </c>
      <c r="H669" s="1">
        <f>(dane_7[[#This Row],[Logarytm naturalny]]-$I$2)/$J$2</f>
        <v>0.47949367667948739</v>
      </c>
      <c r="M669" s="1">
        <f t="shared" si="10"/>
        <v>0.68420626720439615</v>
      </c>
    </row>
    <row r="670" spans="1:13" x14ac:dyDescent="0.25">
      <c r="A670" s="1">
        <v>401.9</v>
      </c>
      <c r="B670" s="1">
        <v>401.9</v>
      </c>
      <c r="C670" s="1">
        <f>LN(dane_7[[#This Row],[Dane wejściowe posortowane]])</f>
        <v>5.9962033014551555</v>
      </c>
      <c r="D670" s="1">
        <v>669</v>
      </c>
      <c r="G670" s="1">
        <f>dane_7[[#This Row],[Nr próbki]]/($G$1+1)</f>
        <v>0.66833166833166835</v>
      </c>
      <c r="H670" s="1">
        <f>(dane_7[[#This Row],[Logarytm naturalny]]-$I$2)/$J$2</f>
        <v>0.47949367667948739</v>
      </c>
      <c r="M670" s="1">
        <f t="shared" si="10"/>
        <v>0.68420626720439615</v>
      </c>
    </row>
    <row r="671" spans="1:13" x14ac:dyDescent="0.25">
      <c r="A671" s="1">
        <v>401.9</v>
      </c>
      <c r="B671" s="1">
        <v>401.9</v>
      </c>
      <c r="C671" s="1">
        <f>LN(dane_7[[#This Row],[Dane wejściowe posortowane]])</f>
        <v>5.9962033014551555</v>
      </c>
      <c r="D671" s="1">
        <v>670</v>
      </c>
      <c r="G671" s="1">
        <f>dane_7[[#This Row],[Nr próbki]]/($G$1+1)</f>
        <v>0.66933066933066931</v>
      </c>
      <c r="H671" s="1">
        <f>(dane_7[[#This Row],[Logarytm naturalny]]-$I$2)/$J$2</f>
        <v>0.47949367667948739</v>
      </c>
      <c r="M671" s="1">
        <f t="shared" si="10"/>
        <v>0.68420626720439615</v>
      </c>
    </row>
    <row r="672" spans="1:13" x14ac:dyDescent="0.25">
      <c r="A672" s="1">
        <v>401.9</v>
      </c>
      <c r="B672" s="1">
        <v>401.9</v>
      </c>
      <c r="C672" s="1">
        <f>LN(dane_7[[#This Row],[Dane wejściowe posortowane]])</f>
        <v>5.9962033014551555</v>
      </c>
      <c r="D672" s="1">
        <v>671</v>
      </c>
      <c r="G672" s="1">
        <f>dane_7[[#This Row],[Nr próbki]]/($G$1+1)</f>
        <v>0.67032967032967028</v>
      </c>
      <c r="H672" s="1">
        <f>(dane_7[[#This Row],[Logarytm naturalny]]-$I$2)/$J$2</f>
        <v>0.47949367667948739</v>
      </c>
      <c r="M672" s="1">
        <f t="shared" si="10"/>
        <v>0.68420626720439615</v>
      </c>
    </row>
    <row r="673" spans="1:13" x14ac:dyDescent="0.25">
      <c r="A673" s="1">
        <v>401.9</v>
      </c>
      <c r="B673" s="1">
        <v>401.9</v>
      </c>
      <c r="C673" s="1">
        <f>LN(dane_7[[#This Row],[Dane wejściowe posortowane]])</f>
        <v>5.9962033014551555</v>
      </c>
      <c r="D673" s="1">
        <v>672</v>
      </c>
      <c r="G673" s="1">
        <f>dane_7[[#This Row],[Nr próbki]]/($G$1+1)</f>
        <v>0.67132867132867136</v>
      </c>
      <c r="H673" s="1">
        <f>(dane_7[[#This Row],[Logarytm naturalny]]-$I$2)/$J$2</f>
        <v>0.47949367667948739</v>
      </c>
      <c r="M673" s="1">
        <f t="shared" si="10"/>
        <v>0.68420626720439615</v>
      </c>
    </row>
    <row r="674" spans="1:13" x14ac:dyDescent="0.25">
      <c r="A674" s="1">
        <v>401.9</v>
      </c>
      <c r="B674" s="1">
        <v>401.9</v>
      </c>
      <c r="C674" s="1">
        <f>LN(dane_7[[#This Row],[Dane wejściowe posortowane]])</f>
        <v>5.9962033014551555</v>
      </c>
      <c r="D674" s="1">
        <v>673</v>
      </c>
      <c r="G674" s="1">
        <f>dane_7[[#This Row],[Nr próbki]]/($G$1+1)</f>
        <v>0.67232767232767232</v>
      </c>
      <c r="H674" s="1">
        <f>(dane_7[[#This Row],[Logarytm naturalny]]-$I$2)/$J$2</f>
        <v>0.47949367667948739</v>
      </c>
      <c r="M674" s="1">
        <f t="shared" si="10"/>
        <v>0.68420626720439615</v>
      </c>
    </row>
    <row r="675" spans="1:13" x14ac:dyDescent="0.25">
      <c r="A675" s="1">
        <v>401.9</v>
      </c>
      <c r="B675" s="1">
        <v>401.9</v>
      </c>
      <c r="C675" s="1">
        <f>LN(dane_7[[#This Row],[Dane wejściowe posortowane]])</f>
        <v>5.9962033014551555</v>
      </c>
      <c r="D675" s="1">
        <v>674</v>
      </c>
      <c r="G675" s="1">
        <f>dane_7[[#This Row],[Nr próbki]]/($G$1+1)</f>
        <v>0.67332667332667329</v>
      </c>
      <c r="H675" s="1">
        <f>(dane_7[[#This Row],[Logarytm naturalny]]-$I$2)/$J$2</f>
        <v>0.47949367667948739</v>
      </c>
      <c r="M675" s="1">
        <f t="shared" si="10"/>
        <v>0.68420626720439615</v>
      </c>
    </row>
    <row r="676" spans="1:13" x14ac:dyDescent="0.25">
      <c r="A676" s="1">
        <v>401.9</v>
      </c>
      <c r="B676" s="1">
        <v>401.9</v>
      </c>
      <c r="C676" s="1">
        <f>LN(dane_7[[#This Row],[Dane wejściowe posortowane]])</f>
        <v>5.9962033014551555</v>
      </c>
      <c r="D676" s="1">
        <v>675</v>
      </c>
      <c r="G676" s="1">
        <f>dane_7[[#This Row],[Nr próbki]]/($G$1+1)</f>
        <v>0.67432567432567436</v>
      </c>
      <c r="H676" s="1">
        <f>(dane_7[[#This Row],[Logarytm naturalny]]-$I$2)/$J$2</f>
        <v>0.47949367667948739</v>
      </c>
      <c r="M676" s="1">
        <f t="shared" si="10"/>
        <v>0.68420626720439615</v>
      </c>
    </row>
    <row r="677" spans="1:13" x14ac:dyDescent="0.25">
      <c r="A677" s="1">
        <v>401.9</v>
      </c>
      <c r="B677" s="1">
        <v>401.9</v>
      </c>
      <c r="C677" s="1">
        <f>LN(dane_7[[#This Row],[Dane wejściowe posortowane]])</f>
        <v>5.9962033014551555</v>
      </c>
      <c r="D677" s="1">
        <v>676</v>
      </c>
      <c r="G677" s="1">
        <f>dane_7[[#This Row],[Nr próbki]]/($G$1+1)</f>
        <v>0.67532467532467533</v>
      </c>
      <c r="H677" s="1">
        <f>(dane_7[[#This Row],[Logarytm naturalny]]-$I$2)/$J$2</f>
        <v>0.47949367667948739</v>
      </c>
      <c r="M677" s="1">
        <f t="shared" si="10"/>
        <v>0.68420626720439615</v>
      </c>
    </row>
    <row r="678" spans="1:13" x14ac:dyDescent="0.25">
      <c r="A678" s="1">
        <v>401.9</v>
      </c>
      <c r="B678" s="1">
        <v>401.9</v>
      </c>
      <c r="C678" s="1">
        <f>LN(dane_7[[#This Row],[Dane wejściowe posortowane]])</f>
        <v>5.9962033014551555</v>
      </c>
      <c r="D678" s="1">
        <v>677</v>
      </c>
      <c r="G678" s="1">
        <f>dane_7[[#This Row],[Nr próbki]]/($G$1+1)</f>
        <v>0.67632367632367629</v>
      </c>
      <c r="H678" s="1">
        <f>(dane_7[[#This Row],[Logarytm naturalny]]-$I$2)/$J$2</f>
        <v>0.47949367667948739</v>
      </c>
      <c r="M678" s="1">
        <f t="shared" si="10"/>
        <v>0.68420626720439615</v>
      </c>
    </row>
    <row r="679" spans="1:13" x14ac:dyDescent="0.25">
      <c r="A679" s="1">
        <v>401.9</v>
      </c>
      <c r="B679" s="1">
        <v>401.9</v>
      </c>
      <c r="C679" s="1">
        <f>LN(dane_7[[#This Row],[Dane wejściowe posortowane]])</f>
        <v>5.9962033014551555</v>
      </c>
      <c r="D679" s="1">
        <v>678</v>
      </c>
      <c r="G679" s="1">
        <f>dane_7[[#This Row],[Nr próbki]]/($G$1+1)</f>
        <v>0.67732267732267737</v>
      </c>
      <c r="H679" s="1">
        <f>(dane_7[[#This Row],[Logarytm naturalny]]-$I$2)/$J$2</f>
        <v>0.47949367667948739</v>
      </c>
      <c r="M679" s="1">
        <f t="shared" si="10"/>
        <v>0.68420626720439615</v>
      </c>
    </row>
    <row r="680" spans="1:13" x14ac:dyDescent="0.25">
      <c r="A680" s="1">
        <v>401.9</v>
      </c>
      <c r="B680" s="1">
        <v>401.9</v>
      </c>
      <c r="C680" s="1">
        <f>LN(dane_7[[#This Row],[Dane wejściowe posortowane]])</f>
        <v>5.9962033014551555</v>
      </c>
      <c r="D680" s="1">
        <v>679</v>
      </c>
      <c r="G680" s="1">
        <f>dane_7[[#This Row],[Nr próbki]]/($G$1+1)</f>
        <v>0.67832167832167833</v>
      </c>
      <c r="H680" s="1">
        <f>(dane_7[[#This Row],[Logarytm naturalny]]-$I$2)/$J$2</f>
        <v>0.47949367667948739</v>
      </c>
      <c r="M680" s="1">
        <f t="shared" si="10"/>
        <v>0.68420626720439615</v>
      </c>
    </row>
    <row r="681" spans="1:13" x14ac:dyDescent="0.25">
      <c r="A681" s="1">
        <v>401.9</v>
      </c>
      <c r="B681" s="1">
        <v>401.9</v>
      </c>
      <c r="C681" s="1">
        <f>LN(dane_7[[#This Row],[Dane wejściowe posortowane]])</f>
        <v>5.9962033014551555</v>
      </c>
      <c r="D681" s="1">
        <v>680</v>
      </c>
      <c r="G681" s="1">
        <f>dane_7[[#This Row],[Nr próbki]]/($G$1+1)</f>
        <v>0.6793206793206793</v>
      </c>
      <c r="H681" s="1">
        <f>(dane_7[[#This Row],[Logarytm naturalny]]-$I$2)/$J$2</f>
        <v>0.47949367667948739</v>
      </c>
      <c r="M681" s="1">
        <f t="shared" si="10"/>
        <v>0.68420626720439615</v>
      </c>
    </row>
    <row r="682" spans="1:13" x14ac:dyDescent="0.25">
      <c r="A682" s="1">
        <v>401.9</v>
      </c>
      <c r="B682" s="1">
        <v>401.9</v>
      </c>
      <c r="C682" s="1">
        <f>LN(dane_7[[#This Row],[Dane wejściowe posortowane]])</f>
        <v>5.9962033014551555</v>
      </c>
      <c r="D682" s="1">
        <v>681</v>
      </c>
      <c r="G682" s="1">
        <f>dane_7[[#This Row],[Nr próbki]]/($G$1+1)</f>
        <v>0.68031968031968026</v>
      </c>
      <c r="H682" s="1">
        <f>(dane_7[[#This Row],[Logarytm naturalny]]-$I$2)/$J$2</f>
        <v>0.47949367667948739</v>
      </c>
      <c r="M682" s="1">
        <f t="shared" si="10"/>
        <v>0.68420626720439615</v>
      </c>
    </row>
    <row r="683" spans="1:13" x14ac:dyDescent="0.25">
      <c r="A683" s="1">
        <v>401.9</v>
      </c>
      <c r="B683" s="1">
        <v>401.9</v>
      </c>
      <c r="C683" s="1">
        <f>LN(dane_7[[#This Row],[Dane wejściowe posortowane]])</f>
        <v>5.9962033014551555</v>
      </c>
      <c r="D683" s="1">
        <v>682</v>
      </c>
      <c r="G683" s="1">
        <f>dane_7[[#This Row],[Nr próbki]]/($G$1+1)</f>
        <v>0.68131868131868134</v>
      </c>
      <c r="H683" s="1">
        <f>(dane_7[[#This Row],[Logarytm naturalny]]-$I$2)/$J$2</f>
        <v>0.47949367667948739</v>
      </c>
      <c r="M683" s="1">
        <f t="shared" si="10"/>
        <v>0.68420626720439615</v>
      </c>
    </row>
    <row r="684" spans="1:13" x14ac:dyDescent="0.25">
      <c r="A684" s="1">
        <v>401.9</v>
      </c>
      <c r="B684" s="1">
        <v>401.9</v>
      </c>
      <c r="C684" s="1">
        <f>LN(dane_7[[#This Row],[Dane wejściowe posortowane]])</f>
        <v>5.9962033014551555</v>
      </c>
      <c r="D684" s="1">
        <v>683</v>
      </c>
      <c r="G684" s="1">
        <f>dane_7[[#This Row],[Nr próbki]]/($G$1+1)</f>
        <v>0.68231768231768231</v>
      </c>
      <c r="H684" s="1">
        <f>(dane_7[[#This Row],[Logarytm naturalny]]-$I$2)/$J$2</f>
        <v>0.47949367667948739</v>
      </c>
      <c r="M684" s="1">
        <f t="shared" si="10"/>
        <v>0.68420626720439615</v>
      </c>
    </row>
    <row r="685" spans="1:13" x14ac:dyDescent="0.25">
      <c r="A685" s="1">
        <v>401.9</v>
      </c>
      <c r="B685" s="1">
        <v>401.9</v>
      </c>
      <c r="C685" s="1">
        <f>LN(dane_7[[#This Row],[Dane wejściowe posortowane]])</f>
        <v>5.9962033014551555</v>
      </c>
      <c r="D685" s="1">
        <v>684</v>
      </c>
      <c r="G685" s="1">
        <f>dane_7[[#This Row],[Nr próbki]]/($G$1+1)</f>
        <v>0.68331668331668327</v>
      </c>
      <c r="H685" s="1">
        <f>(dane_7[[#This Row],[Logarytm naturalny]]-$I$2)/$J$2</f>
        <v>0.47949367667948739</v>
      </c>
      <c r="M685" s="1">
        <f t="shared" si="10"/>
        <v>0.68420626720439615</v>
      </c>
    </row>
    <row r="686" spans="1:13" x14ac:dyDescent="0.25">
      <c r="A686" s="1">
        <v>401.9</v>
      </c>
      <c r="B686" s="1">
        <v>401.9</v>
      </c>
      <c r="C686" s="1">
        <f>LN(dane_7[[#This Row],[Dane wejściowe posortowane]])</f>
        <v>5.9962033014551555</v>
      </c>
      <c r="D686" s="1">
        <v>685</v>
      </c>
      <c r="G686" s="1">
        <f>dane_7[[#This Row],[Nr próbki]]/($G$1+1)</f>
        <v>0.68431568431568435</v>
      </c>
      <c r="H686" s="1">
        <f>(dane_7[[#This Row],[Logarytm naturalny]]-$I$2)/$J$2</f>
        <v>0.47949367667948739</v>
      </c>
      <c r="M686" s="1">
        <f t="shared" si="10"/>
        <v>0.68420626720439615</v>
      </c>
    </row>
    <row r="687" spans="1:13" x14ac:dyDescent="0.25">
      <c r="A687" s="1">
        <v>401.9</v>
      </c>
      <c r="B687" s="1">
        <v>401.9</v>
      </c>
      <c r="C687" s="1">
        <f>LN(dane_7[[#This Row],[Dane wejściowe posortowane]])</f>
        <v>5.9962033014551555</v>
      </c>
      <c r="D687" s="1">
        <v>686</v>
      </c>
      <c r="G687" s="1">
        <f>dane_7[[#This Row],[Nr próbki]]/($G$1+1)</f>
        <v>0.68531468531468531</v>
      </c>
      <c r="H687" s="1">
        <f>(dane_7[[#This Row],[Logarytm naturalny]]-$I$2)/$J$2</f>
        <v>0.47949367667948739</v>
      </c>
      <c r="M687" s="1">
        <f t="shared" si="10"/>
        <v>0.68420626720439615</v>
      </c>
    </row>
    <row r="688" spans="1:13" x14ac:dyDescent="0.25">
      <c r="A688" s="1">
        <v>401.9</v>
      </c>
      <c r="B688" s="1">
        <v>401.9</v>
      </c>
      <c r="C688" s="1">
        <f>LN(dane_7[[#This Row],[Dane wejściowe posortowane]])</f>
        <v>5.9962033014551555</v>
      </c>
      <c r="D688" s="1">
        <v>687</v>
      </c>
      <c r="G688" s="1">
        <f>dane_7[[#This Row],[Nr próbki]]/($G$1+1)</f>
        <v>0.68631368631368628</v>
      </c>
      <c r="H688" s="1">
        <f>(dane_7[[#This Row],[Logarytm naturalny]]-$I$2)/$J$2</f>
        <v>0.47949367667948739</v>
      </c>
      <c r="M688" s="1">
        <f t="shared" si="10"/>
        <v>0.68420626720439615</v>
      </c>
    </row>
    <row r="689" spans="1:13" x14ac:dyDescent="0.25">
      <c r="A689" s="1">
        <v>401.9</v>
      </c>
      <c r="B689" s="1">
        <v>401.9</v>
      </c>
      <c r="C689" s="1">
        <f>LN(dane_7[[#This Row],[Dane wejściowe posortowane]])</f>
        <v>5.9962033014551555</v>
      </c>
      <c r="D689" s="1">
        <v>688</v>
      </c>
      <c r="G689" s="1">
        <f>dane_7[[#This Row],[Nr próbki]]/($G$1+1)</f>
        <v>0.68731268731268735</v>
      </c>
      <c r="H689" s="1">
        <f>(dane_7[[#This Row],[Logarytm naturalny]]-$I$2)/$J$2</f>
        <v>0.47949367667948739</v>
      </c>
      <c r="M689" s="1">
        <f t="shared" si="10"/>
        <v>0.68420626720439615</v>
      </c>
    </row>
    <row r="690" spans="1:13" x14ac:dyDescent="0.25">
      <c r="A690" s="1">
        <v>401.9</v>
      </c>
      <c r="B690" s="1">
        <v>401.9</v>
      </c>
      <c r="C690" s="1">
        <f>LN(dane_7[[#This Row],[Dane wejściowe posortowane]])</f>
        <v>5.9962033014551555</v>
      </c>
      <c r="D690" s="1">
        <v>689</v>
      </c>
      <c r="G690" s="1">
        <f>dane_7[[#This Row],[Nr próbki]]/($G$1+1)</f>
        <v>0.68831168831168832</v>
      </c>
      <c r="H690" s="1">
        <f>(dane_7[[#This Row],[Logarytm naturalny]]-$I$2)/$J$2</f>
        <v>0.47949367667948739</v>
      </c>
      <c r="M690" s="1">
        <f t="shared" si="10"/>
        <v>0.68420626720439615</v>
      </c>
    </row>
    <row r="691" spans="1:13" x14ac:dyDescent="0.25">
      <c r="A691" s="1">
        <v>402</v>
      </c>
      <c r="B691" s="1">
        <v>402</v>
      </c>
      <c r="C691" s="1">
        <f>LN(dane_7[[#This Row],[Dane wejściowe posortowane]])</f>
        <v>5.9964520886190211</v>
      </c>
      <c r="D691" s="1">
        <v>690</v>
      </c>
      <c r="G691" s="1">
        <f>dane_7[[#This Row],[Nr próbki]]/($G$1+1)</f>
        <v>0.68931068931068928</v>
      </c>
      <c r="H691" s="1">
        <f>(dane_7[[#This Row],[Logarytm naturalny]]-$I$2)/$J$2</f>
        <v>0.51375223933045666</v>
      </c>
      <c r="M691" s="1">
        <f t="shared" si="10"/>
        <v>0.69628738816303648</v>
      </c>
    </row>
    <row r="692" spans="1:13" x14ac:dyDescent="0.25">
      <c r="A692" s="1">
        <v>402</v>
      </c>
      <c r="B692" s="1">
        <v>402</v>
      </c>
      <c r="C692" s="1">
        <f>LN(dane_7[[#This Row],[Dane wejściowe posortowane]])</f>
        <v>5.9964520886190211</v>
      </c>
      <c r="D692" s="1">
        <v>691</v>
      </c>
      <c r="G692" s="1">
        <f>dane_7[[#This Row],[Nr próbki]]/($G$1+1)</f>
        <v>0.69030969030969036</v>
      </c>
      <c r="H692" s="1">
        <f>(dane_7[[#This Row],[Logarytm naturalny]]-$I$2)/$J$2</f>
        <v>0.51375223933045666</v>
      </c>
      <c r="M692" s="1">
        <f t="shared" si="10"/>
        <v>0.69628738816303648</v>
      </c>
    </row>
    <row r="693" spans="1:13" x14ac:dyDescent="0.25">
      <c r="A693" s="1">
        <v>402</v>
      </c>
      <c r="B693" s="1">
        <v>402</v>
      </c>
      <c r="C693" s="1">
        <f>LN(dane_7[[#This Row],[Dane wejściowe posortowane]])</f>
        <v>5.9964520886190211</v>
      </c>
      <c r="D693" s="1">
        <v>692</v>
      </c>
      <c r="G693" s="1">
        <f>dane_7[[#This Row],[Nr próbki]]/($G$1+1)</f>
        <v>0.69130869130869133</v>
      </c>
      <c r="H693" s="1">
        <f>(dane_7[[#This Row],[Logarytm naturalny]]-$I$2)/$J$2</f>
        <v>0.51375223933045666</v>
      </c>
      <c r="M693" s="1">
        <f t="shared" si="10"/>
        <v>0.69628738816303648</v>
      </c>
    </row>
    <row r="694" spans="1:13" x14ac:dyDescent="0.25">
      <c r="A694" s="1">
        <v>402</v>
      </c>
      <c r="B694" s="1">
        <v>402</v>
      </c>
      <c r="C694" s="1">
        <f>LN(dane_7[[#This Row],[Dane wejściowe posortowane]])</f>
        <v>5.9964520886190211</v>
      </c>
      <c r="D694" s="1">
        <v>693</v>
      </c>
      <c r="G694" s="1">
        <f>dane_7[[#This Row],[Nr próbki]]/($G$1+1)</f>
        <v>0.69230769230769229</v>
      </c>
      <c r="H694" s="1">
        <f>(dane_7[[#This Row],[Logarytm naturalny]]-$I$2)/$J$2</f>
        <v>0.51375223933045666</v>
      </c>
      <c r="M694" s="1">
        <f t="shared" si="10"/>
        <v>0.69628738816303648</v>
      </c>
    </row>
    <row r="695" spans="1:13" x14ac:dyDescent="0.25">
      <c r="A695" s="1">
        <v>402</v>
      </c>
      <c r="B695" s="1">
        <v>402</v>
      </c>
      <c r="C695" s="1">
        <f>LN(dane_7[[#This Row],[Dane wejściowe posortowane]])</f>
        <v>5.9964520886190211</v>
      </c>
      <c r="D695" s="1">
        <v>694</v>
      </c>
      <c r="G695" s="1">
        <f>dane_7[[#This Row],[Nr próbki]]/($G$1+1)</f>
        <v>0.69330669330669326</v>
      </c>
      <c r="H695" s="1">
        <f>(dane_7[[#This Row],[Logarytm naturalny]]-$I$2)/$J$2</f>
        <v>0.51375223933045666</v>
      </c>
      <c r="M695" s="1">
        <f t="shared" si="10"/>
        <v>0.69628738816303648</v>
      </c>
    </row>
    <row r="696" spans="1:13" x14ac:dyDescent="0.25">
      <c r="A696" s="1">
        <v>402</v>
      </c>
      <c r="B696" s="1">
        <v>402</v>
      </c>
      <c r="C696" s="1">
        <f>LN(dane_7[[#This Row],[Dane wejściowe posortowane]])</f>
        <v>5.9964520886190211</v>
      </c>
      <c r="D696" s="1">
        <v>695</v>
      </c>
      <c r="G696" s="1">
        <f>dane_7[[#This Row],[Nr próbki]]/($G$1+1)</f>
        <v>0.69430569430569433</v>
      </c>
      <c r="H696" s="1">
        <f>(dane_7[[#This Row],[Logarytm naturalny]]-$I$2)/$J$2</f>
        <v>0.51375223933045666</v>
      </c>
      <c r="M696" s="1">
        <f t="shared" si="10"/>
        <v>0.69628738816303648</v>
      </c>
    </row>
    <row r="697" spans="1:13" x14ac:dyDescent="0.25">
      <c r="A697" s="1">
        <v>402</v>
      </c>
      <c r="B697" s="1">
        <v>402</v>
      </c>
      <c r="C697" s="1">
        <f>LN(dane_7[[#This Row],[Dane wejściowe posortowane]])</f>
        <v>5.9964520886190211</v>
      </c>
      <c r="D697" s="1">
        <v>696</v>
      </c>
      <c r="G697" s="1">
        <f>dane_7[[#This Row],[Nr próbki]]/($G$1+1)</f>
        <v>0.6953046953046953</v>
      </c>
      <c r="H697" s="1">
        <f>(dane_7[[#This Row],[Logarytm naturalny]]-$I$2)/$J$2</f>
        <v>0.51375223933045666</v>
      </c>
      <c r="M697" s="1">
        <f t="shared" si="10"/>
        <v>0.69628738816303648</v>
      </c>
    </row>
    <row r="698" spans="1:13" x14ac:dyDescent="0.25">
      <c r="A698" s="1">
        <v>402</v>
      </c>
      <c r="B698" s="1">
        <v>402</v>
      </c>
      <c r="C698" s="1">
        <f>LN(dane_7[[#This Row],[Dane wejściowe posortowane]])</f>
        <v>5.9964520886190211</v>
      </c>
      <c r="D698" s="1">
        <v>697</v>
      </c>
      <c r="G698" s="1">
        <f>dane_7[[#This Row],[Nr próbki]]/($G$1+1)</f>
        <v>0.69630369630369626</v>
      </c>
      <c r="H698" s="1">
        <f>(dane_7[[#This Row],[Logarytm naturalny]]-$I$2)/$J$2</f>
        <v>0.51375223933045666</v>
      </c>
      <c r="M698" s="1">
        <f t="shared" si="10"/>
        <v>0.69628738816303648</v>
      </c>
    </row>
    <row r="699" spans="1:13" x14ac:dyDescent="0.25">
      <c r="A699" s="1">
        <v>402</v>
      </c>
      <c r="B699" s="1">
        <v>402</v>
      </c>
      <c r="C699" s="1">
        <f>LN(dane_7[[#This Row],[Dane wejściowe posortowane]])</f>
        <v>5.9964520886190211</v>
      </c>
      <c r="D699" s="1">
        <v>698</v>
      </c>
      <c r="G699" s="1">
        <f>dane_7[[#This Row],[Nr próbki]]/($G$1+1)</f>
        <v>0.69730269730269734</v>
      </c>
      <c r="H699" s="1">
        <f>(dane_7[[#This Row],[Logarytm naturalny]]-$I$2)/$J$2</f>
        <v>0.51375223933045666</v>
      </c>
      <c r="M699" s="1">
        <f t="shared" si="10"/>
        <v>0.69628738816303648</v>
      </c>
    </row>
    <row r="700" spans="1:13" x14ac:dyDescent="0.25">
      <c r="A700" s="1">
        <v>402</v>
      </c>
      <c r="B700" s="1">
        <v>402</v>
      </c>
      <c r="C700" s="1">
        <f>LN(dane_7[[#This Row],[Dane wejściowe posortowane]])</f>
        <v>5.9964520886190211</v>
      </c>
      <c r="D700" s="1">
        <v>699</v>
      </c>
      <c r="G700" s="1">
        <f>dane_7[[#This Row],[Nr próbki]]/($G$1+1)</f>
        <v>0.6983016983016983</v>
      </c>
      <c r="H700" s="1">
        <f>(dane_7[[#This Row],[Logarytm naturalny]]-$I$2)/$J$2</f>
        <v>0.51375223933045666</v>
      </c>
      <c r="M700" s="1">
        <f t="shared" si="10"/>
        <v>0.69628738816303648</v>
      </c>
    </row>
    <row r="701" spans="1:13" x14ac:dyDescent="0.25">
      <c r="A701" s="1">
        <v>402</v>
      </c>
      <c r="B701" s="1">
        <v>402</v>
      </c>
      <c r="C701" s="1">
        <f>LN(dane_7[[#This Row],[Dane wejściowe posortowane]])</f>
        <v>5.9964520886190211</v>
      </c>
      <c r="D701" s="1">
        <v>700</v>
      </c>
      <c r="G701" s="1">
        <f>dane_7[[#This Row],[Nr próbki]]/($G$1+1)</f>
        <v>0.69930069930069927</v>
      </c>
      <c r="H701" s="1">
        <f>(dane_7[[#This Row],[Logarytm naturalny]]-$I$2)/$J$2</f>
        <v>0.51375223933045666</v>
      </c>
      <c r="M701" s="1">
        <f t="shared" si="10"/>
        <v>0.69628738816303648</v>
      </c>
    </row>
    <row r="702" spans="1:13" x14ac:dyDescent="0.25">
      <c r="A702" s="1">
        <v>402</v>
      </c>
      <c r="B702" s="1">
        <v>402</v>
      </c>
      <c r="C702" s="1">
        <f>LN(dane_7[[#This Row],[Dane wejściowe posortowane]])</f>
        <v>5.9964520886190211</v>
      </c>
      <c r="D702" s="1">
        <v>701</v>
      </c>
      <c r="G702" s="1">
        <f>dane_7[[#This Row],[Nr próbki]]/($G$1+1)</f>
        <v>0.70029970029970035</v>
      </c>
      <c r="H702" s="1">
        <f>(dane_7[[#This Row],[Logarytm naturalny]]-$I$2)/$J$2</f>
        <v>0.51375223933045666</v>
      </c>
      <c r="M702" s="1">
        <f t="shared" si="10"/>
        <v>0.69628738816303648</v>
      </c>
    </row>
    <row r="703" spans="1:13" x14ac:dyDescent="0.25">
      <c r="A703" s="1">
        <v>402</v>
      </c>
      <c r="B703" s="1">
        <v>402</v>
      </c>
      <c r="C703" s="1">
        <f>LN(dane_7[[#This Row],[Dane wejściowe posortowane]])</f>
        <v>5.9964520886190211</v>
      </c>
      <c r="D703" s="1">
        <v>702</v>
      </c>
      <c r="G703" s="1">
        <f>dane_7[[#This Row],[Nr próbki]]/($G$1+1)</f>
        <v>0.70129870129870131</v>
      </c>
      <c r="H703" s="1">
        <f>(dane_7[[#This Row],[Logarytm naturalny]]-$I$2)/$J$2</f>
        <v>0.51375223933045666</v>
      </c>
      <c r="M703" s="1">
        <f t="shared" si="10"/>
        <v>0.69628738816303648</v>
      </c>
    </row>
    <row r="704" spans="1:13" x14ac:dyDescent="0.25">
      <c r="A704" s="1">
        <v>402</v>
      </c>
      <c r="B704" s="1">
        <v>402</v>
      </c>
      <c r="C704" s="1">
        <f>LN(dane_7[[#This Row],[Dane wejściowe posortowane]])</f>
        <v>5.9964520886190211</v>
      </c>
      <c r="D704" s="1">
        <v>703</v>
      </c>
      <c r="G704" s="1">
        <f>dane_7[[#This Row],[Nr próbki]]/($G$1+1)</f>
        <v>0.70229770229770228</v>
      </c>
      <c r="H704" s="1">
        <f>(dane_7[[#This Row],[Logarytm naturalny]]-$I$2)/$J$2</f>
        <v>0.51375223933045666</v>
      </c>
      <c r="M704" s="1">
        <f t="shared" si="10"/>
        <v>0.69628738816303648</v>
      </c>
    </row>
    <row r="705" spans="1:13" x14ac:dyDescent="0.25">
      <c r="A705" s="1">
        <v>402</v>
      </c>
      <c r="B705" s="1">
        <v>402</v>
      </c>
      <c r="C705" s="1">
        <f>LN(dane_7[[#This Row],[Dane wejściowe posortowane]])</f>
        <v>5.9964520886190211</v>
      </c>
      <c r="D705" s="1">
        <v>704</v>
      </c>
      <c r="G705" s="1">
        <f>dane_7[[#This Row],[Nr próbki]]/($G$1+1)</f>
        <v>0.70329670329670335</v>
      </c>
      <c r="H705" s="1">
        <f>(dane_7[[#This Row],[Logarytm naturalny]]-$I$2)/$J$2</f>
        <v>0.51375223933045666</v>
      </c>
      <c r="M705" s="1">
        <f t="shared" si="10"/>
        <v>0.69628738816303648</v>
      </c>
    </row>
    <row r="706" spans="1:13" x14ac:dyDescent="0.25">
      <c r="A706" s="1">
        <v>402</v>
      </c>
      <c r="B706" s="1">
        <v>402</v>
      </c>
      <c r="C706" s="1">
        <f>LN(dane_7[[#This Row],[Dane wejściowe posortowane]])</f>
        <v>5.9964520886190211</v>
      </c>
      <c r="D706" s="1">
        <v>705</v>
      </c>
      <c r="G706" s="1">
        <f>dane_7[[#This Row],[Nr próbki]]/($G$1+1)</f>
        <v>0.70429570429570432</v>
      </c>
      <c r="H706" s="1">
        <f>(dane_7[[#This Row],[Logarytm naturalny]]-$I$2)/$J$2</f>
        <v>0.51375223933045666</v>
      </c>
      <c r="M706" s="1">
        <f t="shared" si="10"/>
        <v>0.69628738816303648</v>
      </c>
    </row>
    <row r="707" spans="1:13" x14ac:dyDescent="0.25">
      <c r="A707" s="1">
        <v>402</v>
      </c>
      <c r="B707" s="1">
        <v>402</v>
      </c>
      <c r="C707" s="1">
        <f>LN(dane_7[[#This Row],[Dane wejściowe posortowane]])</f>
        <v>5.9964520886190211</v>
      </c>
      <c r="D707" s="1">
        <v>706</v>
      </c>
      <c r="G707" s="1">
        <f>dane_7[[#This Row],[Nr próbki]]/($G$1+1)</f>
        <v>0.70529470529470528</v>
      </c>
      <c r="H707" s="1">
        <f>(dane_7[[#This Row],[Logarytm naturalny]]-$I$2)/$J$2</f>
        <v>0.51375223933045666</v>
      </c>
      <c r="M707" s="1">
        <f t="shared" ref="M707:M770" si="11">LOGNORMDIST(B707:B1706,$I$2,$J$2)</f>
        <v>0.69628738816303648</v>
      </c>
    </row>
    <row r="708" spans="1:13" x14ac:dyDescent="0.25">
      <c r="A708" s="1">
        <v>402</v>
      </c>
      <c r="B708" s="1">
        <v>402</v>
      </c>
      <c r="C708" s="1">
        <f>LN(dane_7[[#This Row],[Dane wejściowe posortowane]])</f>
        <v>5.9964520886190211</v>
      </c>
      <c r="D708" s="1">
        <v>707</v>
      </c>
      <c r="G708" s="1">
        <f>dane_7[[#This Row],[Nr próbki]]/($G$1+1)</f>
        <v>0.70629370629370625</v>
      </c>
      <c r="H708" s="1">
        <f>(dane_7[[#This Row],[Logarytm naturalny]]-$I$2)/$J$2</f>
        <v>0.51375223933045666</v>
      </c>
      <c r="M708" s="1">
        <f t="shared" si="11"/>
        <v>0.69628738816303648</v>
      </c>
    </row>
    <row r="709" spans="1:13" x14ac:dyDescent="0.25">
      <c r="A709" s="1">
        <v>402</v>
      </c>
      <c r="B709" s="1">
        <v>402</v>
      </c>
      <c r="C709" s="1">
        <f>LN(dane_7[[#This Row],[Dane wejściowe posortowane]])</f>
        <v>5.9964520886190211</v>
      </c>
      <c r="D709" s="1">
        <v>708</v>
      </c>
      <c r="G709" s="1">
        <f>dane_7[[#This Row],[Nr próbki]]/($G$1+1)</f>
        <v>0.70729270729270732</v>
      </c>
      <c r="H709" s="1">
        <f>(dane_7[[#This Row],[Logarytm naturalny]]-$I$2)/$J$2</f>
        <v>0.51375223933045666</v>
      </c>
      <c r="M709" s="1">
        <f t="shared" si="11"/>
        <v>0.69628738816303648</v>
      </c>
    </row>
    <row r="710" spans="1:13" x14ac:dyDescent="0.25">
      <c r="A710" s="1">
        <v>402.1</v>
      </c>
      <c r="B710" s="1">
        <v>402.1</v>
      </c>
      <c r="C710" s="1">
        <f>LN(dane_7[[#This Row],[Dane wejściowe posortowane]])</f>
        <v>5.9967008139032281</v>
      </c>
      <c r="D710" s="1">
        <v>709</v>
      </c>
      <c r="G710" s="1">
        <f>dane_7[[#This Row],[Nr próbki]]/($G$1+1)</f>
        <v>0.70829170829170829</v>
      </c>
      <c r="H710" s="1">
        <f>(dane_7[[#This Row],[Logarytm naturalny]]-$I$2)/$J$2</f>
        <v>0.548002281010599</v>
      </c>
      <c r="M710" s="1">
        <f t="shared" si="11"/>
        <v>0.70815483170012161</v>
      </c>
    </row>
    <row r="711" spans="1:13" x14ac:dyDescent="0.25">
      <c r="A711" s="1">
        <v>402.1</v>
      </c>
      <c r="B711" s="1">
        <v>402.1</v>
      </c>
      <c r="C711" s="1">
        <f>LN(dane_7[[#This Row],[Dane wejściowe posortowane]])</f>
        <v>5.9967008139032281</v>
      </c>
      <c r="D711" s="1">
        <v>710</v>
      </c>
      <c r="G711" s="1">
        <f>dane_7[[#This Row],[Nr próbki]]/($G$1+1)</f>
        <v>0.70929070929070925</v>
      </c>
      <c r="H711" s="1">
        <f>(dane_7[[#This Row],[Logarytm naturalny]]-$I$2)/$J$2</f>
        <v>0.548002281010599</v>
      </c>
      <c r="M711" s="1">
        <f t="shared" si="11"/>
        <v>0.70815483170012161</v>
      </c>
    </row>
    <row r="712" spans="1:13" x14ac:dyDescent="0.25">
      <c r="A712" s="1">
        <v>402.1</v>
      </c>
      <c r="B712" s="1">
        <v>402.1</v>
      </c>
      <c r="C712" s="1">
        <f>LN(dane_7[[#This Row],[Dane wejściowe posortowane]])</f>
        <v>5.9967008139032281</v>
      </c>
      <c r="D712" s="1">
        <v>711</v>
      </c>
      <c r="G712" s="1">
        <f>dane_7[[#This Row],[Nr próbki]]/($G$1+1)</f>
        <v>0.71028971028971033</v>
      </c>
      <c r="H712" s="1">
        <f>(dane_7[[#This Row],[Logarytm naturalny]]-$I$2)/$J$2</f>
        <v>0.548002281010599</v>
      </c>
      <c r="M712" s="1">
        <f t="shared" si="11"/>
        <v>0.70815483170012161</v>
      </c>
    </row>
    <row r="713" spans="1:13" x14ac:dyDescent="0.25">
      <c r="A713" s="1">
        <v>402.1</v>
      </c>
      <c r="B713" s="1">
        <v>402.1</v>
      </c>
      <c r="C713" s="1">
        <f>LN(dane_7[[#This Row],[Dane wejściowe posortowane]])</f>
        <v>5.9967008139032281</v>
      </c>
      <c r="D713" s="1">
        <v>712</v>
      </c>
      <c r="G713" s="1">
        <f>dane_7[[#This Row],[Nr próbki]]/($G$1+1)</f>
        <v>0.7112887112887113</v>
      </c>
      <c r="H713" s="1">
        <f>(dane_7[[#This Row],[Logarytm naturalny]]-$I$2)/$J$2</f>
        <v>0.548002281010599</v>
      </c>
      <c r="M713" s="1">
        <f t="shared" si="11"/>
        <v>0.70815483170012161</v>
      </c>
    </row>
    <row r="714" spans="1:13" x14ac:dyDescent="0.25">
      <c r="A714" s="1">
        <v>402.1</v>
      </c>
      <c r="B714" s="1">
        <v>402.1</v>
      </c>
      <c r="C714" s="1">
        <f>LN(dane_7[[#This Row],[Dane wejściowe posortowane]])</f>
        <v>5.9967008139032281</v>
      </c>
      <c r="D714" s="1">
        <v>713</v>
      </c>
      <c r="G714" s="1">
        <f>dane_7[[#This Row],[Nr próbki]]/($G$1+1)</f>
        <v>0.71228771228771226</v>
      </c>
      <c r="H714" s="1">
        <f>(dane_7[[#This Row],[Logarytm naturalny]]-$I$2)/$J$2</f>
        <v>0.548002281010599</v>
      </c>
      <c r="M714" s="1">
        <f t="shared" si="11"/>
        <v>0.70815483170012161</v>
      </c>
    </row>
    <row r="715" spans="1:13" x14ac:dyDescent="0.25">
      <c r="A715" s="1">
        <v>402.1</v>
      </c>
      <c r="B715" s="1">
        <v>402.1</v>
      </c>
      <c r="C715" s="1">
        <f>LN(dane_7[[#This Row],[Dane wejściowe posortowane]])</f>
        <v>5.9967008139032281</v>
      </c>
      <c r="D715" s="1">
        <v>714</v>
      </c>
      <c r="G715" s="1">
        <f>dane_7[[#This Row],[Nr próbki]]/($G$1+1)</f>
        <v>0.71328671328671334</v>
      </c>
      <c r="H715" s="1">
        <f>(dane_7[[#This Row],[Logarytm naturalny]]-$I$2)/$J$2</f>
        <v>0.548002281010599</v>
      </c>
      <c r="M715" s="1">
        <f t="shared" si="11"/>
        <v>0.70815483170012161</v>
      </c>
    </row>
    <row r="716" spans="1:13" x14ac:dyDescent="0.25">
      <c r="A716" s="1">
        <v>402.1</v>
      </c>
      <c r="B716" s="1">
        <v>402.1</v>
      </c>
      <c r="C716" s="1">
        <f>LN(dane_7[[#This Row],[Dane wejściowe posortowane]])</f>
        <v>5.9967008139032281</v>
      </c>
      <c r="D716" s="1">
        <v>715</v>
      </c>
      <c r="G716" s="1">
        <f>dane_7[[#This Row],[Nr próbki]]/($G$1+1)</f>
        <v>0.7142857142857143</v>
      </c>
      <c r="H716" s="1">
        <f>(dane_7[[#This Row],[Logarytm naturalny]]-$I$2)/$J$2</f>
        <v>0.548002281010599</v>
      </c>
      <c r="M716" s="1">
        <f t="shared" si="11"/>
        <v>0.70815483170012161</v>
      </c>
    </row>
    <row r="717" spans="1:13" x14ac:dyDescent="0.25">
      <c r="A717" s="1">
        <v>402.1</v>
      </c>
      <c r="B717" s="1">
        <v>402.1</v>
      </c>
      <c r="C717" s="1">
        <f>LN(dane_7[[#This Row],[Dane wejściowe posortowane]])</f>
        <v>5.9967008139032281</v>
      </c>
      <c r="D717" s="1">
        <v>716</v>
      </c>
      <c r="G717" s="1">
        <f>dane_7[[#This Row],[Nr próbki]]/($G$1+1)</f>
        <v>0.71528471528471527</v>
      </c>
      <c r="H717" s="1">
        <f>(dane_7[[#This Row],[Logarytm naturalny]]-$I$2)/$J$2</f>
        <v>0.548002281010599</v>
      </c>
      <c r="M717" s="1">
        <f t="shared" si="11"/>
        <v>0.70815483170012161</v>
      </c>
    </row>
    <row r="718" spans="1:13" x14ac:dyDescent="0.25">
      <c r="A718" s="1">
        <v>402.1</v>
      </c>
      <c r="B718" s="1">
        <v>402.1</v>
      </c>
      <c r="C718" s="1">
        <f>LN(dane_7[[#This Row],[Dane wejściowe posortowane]])</f>
        <v>5.9967008139032281</v>
      </c>
      <c r="D718" s="1">
        <v>717</v>
      </c>
      <c r="G718" s="1">
        <f>dane_7[[#This Row],[Nr próbki]]/($G$1+1)</f>
        <v>0.71628371628371623</v>
      </c>
      <c r="H718" s="1">
        <f>(dane_7[[#This Row],[Logarytm naturalny]]-$I$2)/$J$2</f>
        <v>0.548002281010599</v>
      </c>
      <c r="M718" s="1">
        <f t="shared" si="11"/>
        <v>0.70815483170012161</v>
      </c>
    </row>
    <row r="719" spans="1:13" x14ac:dyDescent="0.25">
      <c r="A719" s="1">
        <v>402.1</v>
      </c>
      <c r="B719" s="1">
        <v>402.1</v>
      </c>
      <c r="C719" s="1">
        <f>LN(dane_7[[#This Row],[Dane wejściowe posortowane]])</f>
        <v>5.9967008139032281</v>
      </c>
      <c r="D719" s="1">
        <v>718</v>
      </c>
      <c r="G719" s="1">
        <f>dane_7[[#This Row],[Nr próbki]]/($G$1+1)</f>
        <v>0.71728271728271731</v>
      </c>
      <c r="H719" s="1">
        <f>(dane_7[[#This Row],[Logarytm naturalny]]-$I$2)/$J$2</f>
        <v>0.548002281010599</v>
      </c>
      <c r="M719" s="1">
        <f t="shared" si="11"/>
        <v>0.70815483170012161</v>
      </c>
    </row>
    <row r="720" spans="1:13" x14ac:dyDescent="0.25">
      <c r="A720" s="1">
        <v>402.1</v>
      </c>
      <c r="B720" s="1">
        <v>402.1</v>
      </c>
      <c r="C720" s="1">
        <f>LN(dane_7[[#This Row],[Dane wejściowe posortowane]])</f>
        <v>5.9967008139032281</v>
      </c>
      <c r="D720" s="1">
        <v>719</v>
      </c>
      <c r="G720" s="1">
        <f>dane_7[[#This Row],[Nr próbki]]/($G$1+1)</f>
        <v>0.71828171828171827</v>
      </c>
      <c r="H720" s="1">
        <f>(dane_7[[#This Row],[Logarytm naturalny]]-$I$2)/$J$2</f>
        <v>0.548002281010599</v>
      </c>
      <c r="M720" s="1">
        <f t="shared" si="11"/>
        <v>0.70815483170012161</v>
      </c>
    </row>
    <row r="721" spans="1:13" x14ac:dyDescent="0.25">
      <c r="A721" s="1">
        <v>402.1</v>
      </c>
      <c r="B721" s="1">
        <v>402.1</v>
      </c>
      <c r="C721" s="1">
        <f>LN(dane_7[[#This Row],[Dane wejściowe posortowane]])</f>
        <v>5.9967008139032281</v>
      </c>
      <c r="D721" s="1">
        <v>720</v>
      </c>
      <c r="G721" s="1">
        <f>dane_7[[#This Row],[Nr próbki]]/($G$1+1)</f>
        <v>0.71928071928071924</v>
      </c>
      <c r="H721" s="1">
        <f>(dane_7[[#This Row],[Logarytm naturalny]]-$I$2)/$J$2</f>
        <v>0.548002281010599</v>
      </c>
      <c r="M721" s="1">
        <f t="shared" si="11"/>
        <v>0.70815483170012161</v>
      </c>
    </row>
    <row r="722" spans="1:13" x14ac:dyDescent="0.25">
      <c r="A722" s="1">
        <v>402.1</v>
      </c>
      <c r="B722" s="1">
        <v>402.1</v>
      </c>
      <c r="C722" s="1">
        <f>LN(dane_7[[#This Row],[Dane wejściowe posortowane]])</f>
        <v>5.9967008139032281</v>
      </c>
      <c r="D722" s="1">
        <v>721</v>
      </c>
      <c r="G722" s="1">
        <f>dane_7[[#This Row],[Nr próbki]]/($G$1+1)</f>
        <v>0.72027972027972031</v>
      </c>
      <c r="H722" s="1">
        <f>(dane_7[[#This Row],[Logarytm naturalny]]-$I$2)/$J$2</f>
        <v>0.548002281010599</v>
      </c>
      <c r="M722" s="1">
        <f t="shared" si="11"/>
        <v>0.70815483170012161</v>
      </c>
    </row>
    <row r="723" spans="1:13" x14ac:dyDescent="0.25">
      <c r="A723" s="1">
        <v>402.1</v>
      </c>
      <c r="B723" s="1">
        <v>402.1</v>
      </c>
      <c r="C723" s="1">
        <f>LN(dane_7[[#This Row],[Dane wejściowe posortowane]])</f>
        <v>5.9967008139032281</v>
      </c>
      <c r="D723" s="1">
        <v>722</v>
      </c>
      <c r="G723" s="1">
        <f>dane_7[[#This Row],[Nr próbki]]/($G$1+1)</f>
        <v>0.72127872127872128</v>
      </c>
      <c r="H723" s="1">
        <f>(dane_7[[#This Row],[Logarytm naturalny]]-$I$2)/$J$2</f>
        <v>0.548002281010599</v>
      </c>
      <c r="M723" s="1">
        <f t="shared" si="11"/>
        <v>0.70815483170012161</v>
      </c>
    </row>
    <row r="724" spans="1:13" x14ac:dyDescent="0.25">
      <c r="A724" s="1">
        <v>402.1</v>
      </c>
      <c r="B724" s="1">
        <v>402.1</v>
      </c>
      <c r="C724" s="1">
        <f>LN(dane_7[[#This Row],[Dane wejściowe posortowane]])</f>
        <v>5.9967008139032281</v>
      </c>
      <c r="D724" s="1">
        <v>723</v>
      </c>
      <c r="G724" s="1">
        <f>dane_7[[#This Row],[Nr próbki]]/($G$1+1)</f>
        <v>0.72227772227772225</v>
      </c>
      <c r="H724" s="1">
        <f>(dane_7[[#This Row],[Logarytm naturalny]]-$I$2)/$J$2</f>
        <v>0.548002281010599</v>
      </c>
      <c r="M724" s="1">
        <f t="shared" si="11"/>
        <v>0.70815483170012161</v>
      </c>
    </row>
    <row r="725" spans="1:13" x14ac:dyDescent="0.25">
      <c r="A725" s="1">
        <v>402.1</v>
      </c>
      <c r="B725" s="1">
        <v>402.1</v>
      </c>
      <c r="C725" s="1">
        <f>LN(dane_7[[#This Row],[Dane wejściowe posortowane]])</f>
        <v>5.9967008139032281</v>
      </c>
      <c r="D725" s="1">
        <v>724</v>
      </c>
      <c r="G725" s="1">
        <f>dane_7[[#This Row],[Nr próbki]]/($G$1+1)</f>
        <v>0.72327672327672332</v>
      </c>
      <c r="H725" s="1">
        <f>(dane_7[[#This Row],[Logarytm naturalny]]-$I$2)/$J$2</f>
        <v>0.548002281010599</v>
      </c>
      <c r="M725" s="1">
        <f t="shared" si="11"/>
        <v>0.70815483170012161</v>
      </c>
    </row>
    <row r="726" spans="1:13" x14ac:dyDescent="0.25">
      <c r="A726" s="1">
        <v>402.2</v>
      </c>
      <c r="B726" s="1">
        <v>402.2</v>
      </c>
      <c r="C726" s="1">
        <f>LN(dane_7[[#This Row],[Dane wejściowe posortowane]])</f>
        <v>5.9969494773385517</v>
      </c>
      <c r="D726" s="1">
        <v>725</v>
      </c>
      <c r="G726" s="1">
        <f>dane_7[[#This Row],[Nr próbki]]/($G$1+1)</f>
        <v>0.72427572427572429</v>
      </c>
      <c r="H726" s="1">
        <f>(dane_7[[#This Row],[Logarytm naturalny]]-$I$2)/$J$2</f>
        <v>0.58224380595775493</v>
      </c>
      <c r="M726" s="1">
        <f t="shared" si="11"/>
        <v>0.71979876474693316</v>
      </c>
    </row>
    <row r="727" spans="1:13" x14ac:dyDescent="0.25">
      <c r="A727" s="1">
        <v>402.2</v>
      </c>
      <c r="B727" s="1">
        <v>402.2</v>
      </c>
      <c r="C727" s="1">
        <f>LN(dane_7[[#This Row],[Dane wejściowe posortowane]])</f>
        <v>5.9969494773385517</v>
      </c>
      <c r="D727" s="1">
        <v>726</v>
      </c>
      <c r="G727" s="1">
        <f>dane_7[[#This Row],[Nr próbki]]/($G$1+1)</f>
        <v>0.72527472527472525</v>
      </c>
      <c r="H727" s="1">
        <f>(dane_7[[#This Row],[Logarytm naturalny]]-$I$2)/$J$2</f>
        <v>0.58224380595775493</v>
      </c>
      <c r="M727" s="1">
        <f t="shared" si="11"/>
        <v>0.71979876474693316</v>
      </c>
    </row>
    <row r="728" spans="1:13" x14ac:dyDescent="0.25">
      <c r="A728" s="1">
        <v>402.2</v>
      </c>
      <c r="B728" s="1">
        <v>402.2</v>
      </c>
      <c r="C728" s="1">
        <f>LN(dane_7[[#This Row],[Dane wejściowe posortowane]])</f>
        <v>5.9969494773385517</v>
      </c>
      <c r="D728" s="1">
        <v>727</v>
      </c>
      <c r="G728" s="1">
        <f>dane_7[[#This Row],[Nr próbki]]/($G$1+1)</f>
        <v>0.72627372627372633</v>
      </c>
      <c r="H728" s="1">
        <f>(dane_7[[#This Row],[Logarytm naturalny]]-$I$2)/$J$2</f>
        <v>0.58224380595775493</v>
      </c>
      <c r="M728" s="1">
        <f t="shared" si="11"/>
        <v>0.71979876474693316</v>
      </c>
    </row>
    <row r="729" spans="1:13" x14ac:dyDescent="0.25">
      <c r="A729" s="1">
        <v>402.2</v>
      </c>
      <c r="B729" s="1">
        <v>402.2</v>
      </c>
      <c r="C729" s="1">
        <f>LN(dane_7[[#This Row],[Dane wejściowe posortowane]])</f>
        <v>5.9969494773385517</v>
      </c>
      <c r="D729" s="1">
        <v>728</v>
      </c>
      <c r="G729" s="1">
        <f>dane_7[[#This Row],[Nr próbki]]/($G$1+1)</f>
        <v>0.72727272727272729</v>
      </c>
      <c r="H729" s="1">
        <f>(dane_7[[#This Row],[Logarytm naturalny]]-$I$2)/$J$2</f>
        <v>0.58224380595775493</v>
      </c>
      <c r="M729" s="1">
        <f t="shared" si="11"/>
        <v>0.71979876474693316</v>
      </c>
    </row>
    <row r="730" spans="1:13" x14ac:dyDescent="0.25">
      <c r="A730" s="1">
        <v>402.2</v>
      </c>
      <c r="B730" s="1">
        <v>402.2</v>
      </c>
      <c r="C730" s="1">
        <f>LN(dane_7[[#This Row],[Dane wejściowe posortowane]])</f>
        <v>5.9969494773385517</v>
      </c>
      <c r="D730" s="1">
        <v>729</v>
      </c>
      <c r="G730" s="1">
        <f>dane_7[[#This Row],[Nr próbki]]/($G$1+1)</f>
        <v>0.72827172827172826</v>
      </c>
      <c r="H730" s="1">
        <f>(dane_7[[#This Row],[Logarytm naturalny]]-$I$2)/$J$2</f>
        <v>0.58224380595775493</v>
      </c>
      <c r="M730" s="1">
        <f t="shared" si="11"/>
        <v>0.71979876474693316</v>
      </c>
    </row>
    <row r="731" spans="1:13" x14ac:dyDescent="0.25">
      <c r="A731" s="1">
        <v>402.2</v>
      </c>
      <c r="B731" s="1">
        <v>402.2</v>
      </c>
      <c r="C731" s="1">
        <f>LN(dane_7[[#This Row],[Dane wejściowe posortowane]])</f>
        <v>5.9969494773385517</v>
      </c>
      <c r="D731" s="1">
        <v>730</v>
      </c>
      <c r="G731" s="1">
        <f>dane_7[[#This Row],[Nr próbki]]/($G$1+1)</f>
        <v>0.72927072927072922</v>
      </c>
      <c r="H731" s="1">
        <f>(dane_7[[#This Row],[Logarytm naturalny]]-$I$2)/$J$2</f>
        <v>0.58224380595775493</v>
      </c>
      <c r="M731" s="1">
        <f t="shared" si="11"/>
        <v>0.71979876474693316</v>
      </c>
    </row>
    <row r="732" spans="1:13" x14ac:dyDescent="0.25">
      <c r="A732" s="1">
        <v>402.2</v>
      </c>
      <c r="B732" s="1">
        <v>402.2</v>
      </c>
      <c r="C732" s="1">
        <f>LN(dane_7[[#This Row],[Dane wejściowe posortowane]])</f>
        <v>5.9969494773385517</v>
      </c>
      <c r="D732" s="1">
        <v>731</v>
      </c>
      <c r="G732" s="1">
        <f>dane_7[[#This Row],[Nr próbki]]/($G$1+1)</f>
        <v>0.7302697302697303</v>
      </c>
      <c r="H732" s="1">
        <f>(dane_7[[#This Row],[Logarytm naturalny]]-$I$2)/$J$2</f>
        <v>0.58224380595775493</v>
      </c>
      <c r="M732" s="1">
        <f t="shared" si="11"/>
        <v>0.71979876474693316</v>
      </c>
    </row>
    <row r="733" spans="1:13" x14ac:dyDescent="0.25">
      <c r="A733" s="1">
        <v>402.2</v>
      </c>
      <c r="B733" s="1">
        <v>402.2</v>
      </c>
      <c r="C733" s="1">
        <f>LN(dane_7[[#This Row],[Dane wejściowe posortowane]])</f>
        <v>5.9969494773385517</v>
      </c>
      <c r="D733" s="1">
        <v>732</v>
      </c>
      <c r="G733" s="1">
        <f>dane_7[[#This Row],[Nr próbki]]/($G$1+1)</f>
        <v>0.73126873126873126</v>
      </c>
      <c r="H733" s="1">
        <f>(dane_7[[#This Row],[Logarytm naturalny]]-$I$2)/$J$2</f>
        <v>0.58224380595775493</v>
      </c>
      <c r="M733" s="1">
        <f t="shared" si="11"/>
        <v>0.71979876474693316</v>
      </c>
    </row>
    <row r="734" spans="1:13" x14ac:dyDescent="0.25">
      <c r="A734" s="1">
        <v>402.2</v>
      </c>
      <c r="B734" s="1">
        <v>402.2</v>
      </c>
      <c r="C734" s="1">
        <f>LN(dane_7[[#This Row],[Dane wejściowe posortowane]])</f>
        <v>5.9969494773385517</v>
      </c>
      <c r="D734" s="1">
        <v>733</v>
      </c>
      <c r="G734" s="1">
        <f>dane_7[[#This Row],[Nr próbki]]/($G$1+1)</f>
        <v>0.73226773226773223</v>
      </c>
      <c r="H734" s="1">
        <f>(dane_7[[#This Row],[Logarytm naturalny]]-$I$2)/$J$2</f>
        <v>0.58224380595775493</v>
      </c>
      <c r="M734" s="1">
        <f t="shared" si="11"/>
        <v>0.71979876474693316</v>
      </c>
    </row>
    <row r="735" spans="1:13" x14ac:dyDescent="0.25">
      <c r="A735" s="1">
        <v>402.2</v>
      </c>
      <c r="B735" s="1">
        <v>402.2</v>
      </c>
      <c r="C735" s="1">
        <f>LN(dane_7[[#This Row],[Dane wejściowe posortowane]])</f>
        <v>5.9969494773385517</v>
      </c>
      <c r="D735" s="1">
        <v>734</v>
      </c>
      <c r="G735" s="1">
        <f>dane_7[[#This Row],[Nr próbki]]/($G$1+1)</f>
        <v>0.73326673326673331</v>
      </c>
      <c r="H735" s="1">
        <f>(dane_7[[#This Row],[Logarytm naturalny]]-$I$2)/$J$2</f>
        <v>0.58224380595775493</v>
      </c>
      <c r="M735" s="1">
        <f t="shared" si="11"/>
        <v>0.71979876474693316</v>
      </c>
    </row>
    <row r="736" spans="1:13" x14ac:dyDescent="0.25">
      <c r="A736" s="1">
        <v>402.2</v>
      </c>
      <c r="B736" s="1">
        <v>402.2</v>
      </c>
      <c r="C736" s="1">
        <f>LN(dane_7[[#This Row],[Dane wejściowe posortowane]])</f>
        <v>5.9969494773385517</v>
      </c>
      <c r="D736" s="1">
        <v>735</v>
      </c>
      <c r="G736" s="1">
        <f>dane_7[[#This Row],[Nr próbki]]/($G$1+1)</f>
        <v>0.73426573426573427</v>
      </c>
      <c r="H736" s="1">
        <f>(dane_7[[#This Row],[Logarytm naturalny]]-$I$2)/$J$2</f>
        <v>0.58224380595775493</v>
      </c>
      <c r="M736" s="1">
        <f t="shared" si="11"/>
        <v>0.71979876474693316</v>
      </c>
    </row>
    <row r="737" spans="1:13" x14ac:dyDescent="0.25">
      <c r="A737" s="1">
        <v>402.2</v>
      </c>
      <c r="B737" s="1">
        <v>402.2</v>
      </c>
      <c r="C737" s="1">
        <f>LN(dane_7[[#This Row],[Dane wejściowe posortowane]])</f>
        <v>5.9969494773385517</v>
      </c>
      <c r="D737" s="1">
        <v>736</v>
      </c>
      <c r="G737" s="1">
        <f>dane_7[[#This Row],[Nr próbki]]/($G$1+1)</f>
        <v>0.73526473526473524</v>
      </c>
      <c r="H737" s="1">
        <f>(dane_7[[#This Row],[Logarytm naturalny]]-$I$2)/$J$2</f>
        <v>0.58224380595775493</v>
      </c>
      <c r="M737" s="1">
        <f t="shared" si="11"/>
        <v>0.71979876474693316</v>
      </c>
    </row>
    <row r="738" spans="1:13" x14ac:dyDescent="0.25">
      <c r="A738" s="1">
        <v>402.2</v>
      </c>
      <c r="B738" s="1">
        <v>402.2</v>
      </c>
      <c r="C738" s="1">
        <f>LN(dane_7[[#This Row],[Dane wejściowe posortowane]])</f>
        <v>5.9969494773385517</v>
      </c>
      <c r="D738" s="1">
        <v>737</v>
      </c>
      <c r="G738" s="1">
        <f>dane_7[[#This Row],[Nr próbki]]/($G$1+1)</f>
        <v>0.73626373626373631</v>
      </c>
      <c r="H738" s="1">
        <f>(dane_7[[#This Row],[Logarytm naturalny]]-$I$2)/$J$2</f>
        <v>0.58224380595775493</v>
      </c>
      <c r="M738" s="1">
        <f t="shared" si="11"/>
        <v>0.71979876474693316</v>
      </c>
    </row>
    <row r="739" spans="1:13" x14ac:dyDescent="0.25">
      <c r="A739" s="1">
        <v>402.2</v>
      </c>
      <c r="B739" s="1">
        <v>402.2</v>
      </c>
      <c r="C739" s="1">
        <f>LN(dane_7[[#This Row],[Dane wejściowe posortowane]])</f>
        <v>5.9969494773385517</v>
      </c>
      <c r="D739" s="1">
        <v>738</v>
      </c>
      <c r="G739" s="1">
        <f>dane_7[[#This Row],[Nr próbki]]/($G$1+1)</f>
        <v>0.73726273726273728</v>
      </c>
      <c r="H739" s="1">
        <f>(dane_7[[#This Row],[Logarytm naturalny]]-$I$2)/$J$2</f>
        <v>0.58224380595775493</v>
      </c>
      <c r="M739" s="1">
        <f t="shared" si="11"/>
        <v>0.71979876474693316</v>
      </c>
    </row>
    <row r="740" spans="1:13" x14ac:dyDescent="0.25">
      <c r="A740" s="1">
        <v>402.2</v>
      </c>
      <c r="B740" s="1">
        <v>402.2</v>
      </c>
      <c r="C740" s="1">
        <f>LN(dane_7[[#This Row],[Dane wejściowe posortowane]])</f>
        <v>5.9969494773385517</v>
      </c>
      <c r="D740" s="1">
        <v>739</v>
      </c>
      <c r="G740" s="1">
        <f>dane_7[[#This Row],[Nr próbki]]/($G$1+1)</f>
        <v>0.73826173826173824</v>
      </c>
      <c r="H740" s="1">
        <f>(dane_7[[#This Row],[Logarytm naturalny]]-$I$2)/$J$2</f>
        <v>0.58224380595775493</v>
      </c>
      <c r="M740" s="1">
        <f t="shared" si="11"/>
        <v>0.71979876474693316</v>
      </c>
    </row>
    <row r="741" spans="1:13" x14ac:dyDescent="0.25">
      <c r="A741" s="1">
        <v>402.2</v>
      </c>
      <c r="B741" s="1">
        <v>402.2</v>
      </c>
      <c r="C741" s="1">
        <f>LN(dane_7[[#This Row],[Dane wejściowe posortowane]])</f>
        <v>5.9969494773385517</v>
      </c>
      <c r="D741" s="1">
        <v>740</v>
      </c>
      <c r="G741" s="1">
        <f>dane_7[[#This Row],[Nr próbki]]/($G$1+1)</f>
        <v>0.73926073926073921</v>
      </c>
      <c r="H741" s="1">
        <f>(dane_7[[#This Row],[Logarytm naturalny]]-$I$2)/$J$2</f>
        <v>0.58224380595775493</v>
      </c>
      <c r="M741" s="1">
        <f t="shared" si="11"/>
        <v>0.71979876474693316</v>
      </c>
    </row>
    <row r="742" spans="1:13" x14ac:dyDescent="0.25">
      <c r="A742" s="1">
        <v>402.2</v>
      </c>
      <c r="B742" s="1">
        <v>402.2</v>
      </c>
      <c r="C742" s="1">
        <f>LN(dane_7[[#This Row],[Dane wejściowe posortowane]])</f>
        <v>5.9969494773385517</v>
      </c>
      <c r="D742" s="1">
        <v>741</v>
      </c>
      <c r="G742" s="1">
        <f>dane_7[[#This Row],[Nr próbki]]/($G$1+1)</f>
        <v>0.74025974025974028</v>
      </c>
      <c r="H742" s="1">
        <f>(dane_7[[#This Row],[Logarytm naturalny]]-$I$2)/$J$2</f>
        <v>0.58224380595775493</v>
      </c>
      <c r="M742" s="1">
        <f t="shared" si="11"/>
        <v>0.71979876474693316</v>
      </c>
    </row>
    <row r="743" spans="1:13" x14ac:dyDescent="0.25">
      <c r="A743" s="1">
        <v>402.3</v>
      </c>
      <c r="B743" s="1">
        <v>402.3</v>
      </c>
      <c r="C743" s="1">
        <f>LN(dane_7[[#This Row],[Dane wejściowe posortowane]])</f>
        <v>5.9971980789557424</v>
      </c>
      <c r="D743" s="1">
        <v>742</v>
      </c>
      <c r="G743" s="1">
        <f>dane_7[[#This Row],[Nr próbki]]/($G$1+1)</f>
        <v>0.74125874125874125</v>
      </c>
      <c r="H743" s="1">
        <f>(dane_7[[#This Row],[Logarytm naturalny]]-$I$2)/$J$2</f>
        <v>0.61647681840634072</v>
      </c>
      <c r="M743" s="1">
        <f t="shared" si="11"/>
        <v>0.73121006644974473</v>
      </c>
    </row>
    <row r="744" spans="1:13" x14ac:dyDescent="0.25">
      <c r="A744" s="1">
        <v>402.3</v>
      </c>
      <c r="B744" s="1">
        <v>402.3</v>
      </c>
      <c r="C744" s="1">
        <f>LN(dane_7[[#This Row],[Dane wejściowe posortowane]])</f>
        <v>5.9971980789557424</v>
      </c>
      <c r="D744" s="1">
        <v>743</v>
      </c>
      <c r="G744" s="1">
        <f>dane_7[[#This Row],[Nr próbki]]/($G$1+1)</f>
        <v>0.74225774225774221</v>
      </c>
      <c r="H744" s="1">
        <f>(dane_7[[#This Row],[Logarytm naturalny]]-$I$2)/$J$2</f>
        <v>0.61647681840634072</v>
      </c>
      <c r="M744" s="1">
        <f t="shared" si="11"/>
        <v>0.73121006644974473</v>
      </c>
    </row>
    <row r="745" spans="1:13" x14ac:dyDescent="0.25">
      <c r="A745" s="1">
        <v>402.3</v>
      </c>
      <c r="B745" s="1">
        <v>402.3</v>
      </c>
      <c r="C745" s="1">
        <f>LN(dane_7[[#This Row],[Dane wejściowe posortowane]])</f>
        <v>5.9971980789557424</v>
      </c>
      <c r="D745" s="1">
        <v>744</v>
      </c>
      <c r="G745" s="1">
        <f>dane_7[[#This Row],[Nr próbki]]/($G$1+1)</f>
        <v>0.74325674325674329</v>
      </c>
      <c r="H745" s="1">
        <f>(dane_7[[#This Row],[Logarytm naturalny]]-$I$2)/$J$2</f>
        <v>0.61647681840634072</v>
      </c>
      <c r="M745" s="1">
        <f t="shared" si="11"/>
        <v>0.73121006644974473</v>
      </c>
    </row>
    <row r="746" spans="1:13" x14ac:dyDescent="0.25">
      <c r="A746" s="1">
        <v>402.3</v>
      </c>
      <c r="B746" s="1">
        <v>402.3</v>
      </c>
      <c r="C746" s="1">
        <f>LN(dane_7[[#This Row],[Dane wejściowe posortowane]])</f>
        <v>5.9971980789557424</v>
      </c>
      <c r="D746" s="1">
        <v>745</v>
      </c>
      <c r="G746" s="1">
        <f>dane_7[[#This Row],[Nr próbki]]/($G$1+1)</f>
        <v>0.74425574425574426</v>
      </c>
      <c r="H746" s="1">
        <f>(dane_7[[#This Row],[Logarytm naturalny]]-$I$2)/$J$2</f>
        <v>0.61647681840634072</v>
      </c>
      <c r="M746" s="1">
        <f t="shared" si="11"/>
        <v>0.73121006644974473</v>
      </c>
    </row>
    <row r="747" spans="1:13" x14ac:dyDescent="0.25">
      <c r="A747" s="1">
        <v>402.3</v>
      </c>
      <c r="B747" s="1">
        <v>402.3</v>
      </c>
      <c r="C747" s="1">
        <f>LN(dane_7[[#This Row],[Dane wejściowe posortowane]])</f>
        <v>5.9971980789557424</v>
      </c>
      <c r="D747" s="1">
        <v>746</v>
      </c>
      <c r="G747" s="1">
        <f>dane_7[[#This Row],[Nr próbki]]/($G$1+1)</f>
        <v>0.74525474525474522</v>
      </c>
      <c r="H747" s="1">
        <f>(dane_7[[#This Row],[Logarytm naturalny]]-$I$2)/$J$2</f>
        <v>0.61647681840634072</v>
      </c>
      <c r="M747" s="1">
        <f t="shared" si="11"/>
        <v>0.73121006644974473</v>
      </c>
    </row>
    <row r="748" spans="1:13" x14ac:dyDescent="0.25">
      <c r="A748" s="1">
        <v>402.3</v>
      </c>
      <c r="B748" s="1">
        <v>402.3</v>
      </c>
      <c r="C748" s="1">
        <f>LN(dane_7[[#This Row],[Dane wejściowe posortowane]])</f>
        <v>5.9971980789557424</v>
      </c>
      <c r="D748" s="1">
        <v>747</v>
      </c>
      <c r="G748" s="1">
        <f>dane_7[[#This Row],[Nr próbki]]/($G$1+1)</f>
        <v>0.7462537462537463</v>
      </c>
      <c r="H748" s="1">
        <f>(dane_7[[#This Row],[Logarytm naturalny]]-$I$2)/$J$2</f>
        <v>0.61647681840634072</v>
      </c>
      <c r="M748" s="1">
        <f t="shared" si="11"/>
        <v>0.73121006644974473</v>
      </c>
    </row>
    <row r="749" spans="1:13" x14ac:dyDescent="0.25">
      <c r="A749" s="1">
        <v>402.3</v>
      </c>
      <c r="B749" s="1">
        <v>402.3</v>
      </c>
      <c r="C749" s="1">
        <f>LN(dane_7[[#This Row],[Dane wejściowe posortowane]])</f>
        <v>5.9971980789557424</v>
      </c>
      <c r="D749" s="1">
        <v>748</v>
      </c>
      <c r="G749" s="1">
        <f>dane_7[[#This Row],[Nr próbki]]/($G$1+1)</f>
        <v>0.74725274725274726</v>
      </c>
      <c r="H749" s="1">
        <f>(dane_7[[#This Row],[Logarytm naturalny]]-$I$2)/$J$2</f>
        <v>0.61647681840634072</v>
      </c>
      <c r="M749" s="1">
        <f t="shared" si="11"/>
        <v>0.73121006644974473</v>
      </c>
    </row>
    <row r="750" spans="1:13" x14ac:dyDescent="0.25">
      <c r="A750" s="1">
        <v>402.3</v>
      </c>
      <c r="B750" s="1">
        <v>402.3</v>
      </c>
      <c r="C750" s="1">
        <f>LN(dane_7[[#This Row],[Dane wejściowe posortowane]])</f>
        <v>5.9971980789557424</v>
      </c>
      <c r="D750" s="1">
        <v>749</v>
      </c>
      <c r="G750" s="1">
        <f>dane_7[[#This Row],[Nr próbki]]/($G$1+1)</f>
        <v>0.74825174825174823</v>
      </c>
      <c r="H750" s="1">
        <f>(dane_7[[#This Row],[Logarytm naturalny]]-$I$2)/$J$2</f>
        <v>0.61647681840634072</v>
      </c>
      <c r="M750" s="1">
        <f t="shared" si="11"/>
        <v>0.73121006644974473</v>
      </c>
    </row>
    <row r="751" spans="1:13" x14ac:dyDescent="0.25">
      <c r="A751" s="1">
        <v>402.3</v>
      </c>
      <c r="B751" s="1">
        <v>402.3</v>
      </c>
      <c r="C751" s="1">
        <f>LN(dane_7[[#This Row],[Dane wejściowe posortowane]])</f>
        <v>5.9971980789557424</v>
      </c>
      <c r="D751" s="1">
        <v>750</v>
      </c>
      <c r="G751" s="1">
        <f>dane_7[[#This Row],[Nr próbki]]/($G$1+1)</f>
        <v>0.7492507492507493</v>
      </c>
      <c r="H751" s="1">
        <f>(dane_7[[#This Row],[Logarytm naturalny]]-$I$2)/$J$2</f>
        <v>0.61647681840634072</v>
      </c>
      <c r="M751" s="1">
        <f t="shared" si="11"/>
        <v>0.73121006644974473</v>
      </c>
    </row>
    <row r="752" spans="1:13" x14ac:dyDescent="0.25">
      <c r="A752" s="1">
        <v>402.3</v>
      </c>
      <c r="B752" s="1">
        <v>402.3</v>
      </c>
      <c r="C752" s="1">
        <f>LN(dane_7[[#This Row],[Dane wejściowe posortowane]])</f>
        <v>5.9971980789557424</v>
      </c>
      <c r="D752" s="1">
        <v>751</v>
      </c>
      <c r="G752" s="1">
        <f>dane_7[[#This Row],[Nr próbki]]/($G$1+1)</f>
        <v>0.75024975024975027</v>
      </c>
      <c r="H752" s="1">
        <f>(dane_7[[#This Row],[Logarytm naturalny]]-$I$2)/$J$2</f>
        <v>0.61647681840634072</v>
      </c>
      <c r="M752" s="1">
        <f t="shared" si="11"/>
        <v>0.73121006644974473</v>
      </c>
    </row>
    <row r="753" spans="1:13" x14ac:dyDescent="0.25">
      <c r="A753" s="1">
        <v>402.3</v>
      </c>
      <c r="B753" s="1">
        <v>402.3</v>
      </c>
      <c r="C753" s="1">
        <f>LN(dane_7[[#This Row],[Dane wejściowe posortowane]])</f>
        <v>5.9971980789557424</v>
      </c>
      <c r="D753" s="1">
        <v>752</v>
      </c>
      <c r="G753" s="1">
        <f>dane_7[[#This Row],[Nr próbki]]/($G$1+1)</f>
        <v>0.75124875124875123</v>
      </c>
      <c r="H753" s="1">
        <f>(dane_7[[#This Row],[Logarytm naturalny]]-$I$2)/$J$2</f>
        <v>0.61647681840634072</v>
      </c>
      <c r="M753" s="1">
        <f t="shared" si="11"/>
        <v>0.73121006644974473</v>
      </c>
    </row>
    <row r="754" spans="1:13" x14ac:dyDescent="0.25">
      <c r="A754" s="1">
        <v>402.3</v>
      </c>
      <c r="B754" s="1">
        <v>402.3</v>
      </c>
      <c r="C754" s="1">
        <f>LN(dane_7[[#This Row],[Dane wejściowe posortowane]])</f>
        <v>5.9971980789557424</v>
      </c>
      <c r="D754" s="1">
        <v>753</v>
      </c>
      <c r="G754" s="1">
        <f>dane_7[[#This Row],[Nr próbki]]/($G$1+1)</f>
        <v>0.7522477522477522</v>
      </c>
      <c r="H754" s="1">
        <f>(dane_7[[#This Row],[Logarytm naturalny]]-$I$2)/$J$2</f>
        <v>0.61647681840634072</v>
      </c>
      <c r="M754" s="1">
        <f t="shared" si="11"/>
        <v>0.73121006644974473</v>
      </c>
    </row>
    <row r="755" spans="1:13" x14ac:dyDescent="0.25">
      <c r="A755" s="1">
        <v>402.3</v>
      </c>
      <c r="B755" s="1">
        <v>402.3</v>
      </c>
      <c r="C755" s="1">
        <f>LN(dane_7[[#This Row],[Dane wejściowe posortowane]])</f>
        <v>5.9971980789557424</v>
      </c>
      <c r="D755" s="1">
        <v>754</v>
      </c>
      <c r="G755" s="1">
        <f>dane_7[[#This Row],[Nr próbki]]/($G$1+1)</f>
        <v>0.75324675324675328</v>
      </c>
      <c r="H755" s="1">
        <f>(dane_7[[#This Row],[Logarytm naturalny]]-$I$2)/$J$2</f>
        <v>0.61647681840634072</v>
      </c>
      <c r="M755" s="1">
        <f t="shared" si="11"/>
        <v>0.73121006644974473</v>
      </c>
    </row>
    <row r="756" spans="1:13" x14ac:dyDescent="0.25">
      <c r="A756" s="1">
        <v>402.3</v>
      </c>
      <c r="B756" s="1">
        <v>402.3</v>
      </c>
      <c r="C756" s="1">
        <f>LN(dane_7[[#This Row],[Dane wejściowe posortowane]])</f>
        <v>5.9971980789557424</v>
      </c>
      <c r="D756" s="1">
        <v>755</v>
      </c>
      <c r="G756" s="1">
        <f>dane_7[[#This Row],[Nr próbki]]/($G$1+1)</f>
        <v>0.75424575424575424</v>
      </c>
      <c r="H756" s="1">
        <f>(dane_7[[#This Row],[Logarytm naturalny]]-$I$2)/$J$2</f>
        <v>0.61647681840634072</v>
      </c>
      <c r="M756" s="1">
        <f t="shared" si="11"/>
        <v>0.73121006644974473</v>
      </c>
    </row>
    <row r="757" spans="1:13" x14ac:dyDescent="0.25">
      <c r="A757" s="1">
        <v>402.3</v>
      </c>
      <c r="B757" s="1">
        <v>402.3</v>
      </c>
      <c r="C757" s="1">
        <f>LN(dane_7[[#This Row],[Dane wejściowe posortowane]])</f>
        <v>5.9971980789557424</v>
      </c>
      <c r="D757" s="1">
        <v>756</v>
      </c>
      <c r="G757" s="1">
        <f>dane_7[[#This Row],[Nr próbki]]/($G$1+1)</f>
        <v>0.75524475524475521</v>
      </c>
      <c r="H757" s="1">
        <f>(dane_7[[#This Row],[Logarytm naturalny]]-$I$2)/$J$2</f>
        <v>0.61647681840634072</v>
      </c>
      <c r="M757" s="1">
        <f t="shared" si="11"/>
        <v>0.73121006644974473</v>
      </c>
    </row>
    <row r="758" spans="1:13" x14ac:dyDescent="0.25">
      <c r="A758" s="1">
        <v>402.3</v>
      </c>
      <c r="B758" s="1">
        <v>402.3</v>
      </c>
      <c r="C758" s="1">
        <f>LN(dane_7[[#This Row],[Dane wejściowe posortowane]])</f>
        <v>5.9971980789557424</v>
      </c>
      <c r="D758" s="1">
        <v>757</v>
      </c>
      <c r="G758" s="1">
        <f>dane_7[[#This Row],[Nr próbki]]/($G$1+1)</f>
        <v>0.75624375624375628</v>
      </c>
      <c r="H758" s="1">
        <f>(dane_7[[#This Row],[Logarytm naturalny]]-$I$2)/$J$2</f>
        <v>0.61647681840634072</v>
      </c>
      <c r="M758" s="1">
        <f t="shared" si="11"/>
        <v>0.73121006644974473</v>
      </c>
    </row>
    <row r="759" spans="1:13" x14ac:dyDescent="0.25">
      <c r="A759" s="1">
        <v>402.3</v>
      </c>
      <c r="B759" s="1">
        <v>402.3</v>
      </c>
      <c r="C759" s="1">
        <f>LN(dane_7[[#This Row],[Dane wejściowe posortowane]])</f>
        <v>5.9971980789557424</v>
      </c>
      <c r="D759" s="1">
        <v>758</v>
      </c>
      <c r="G759" s="1">
        <f>dane_7[[#This Row],[Nr próbki]]/($G$1+1)</f>
        <v>0.75724275724275725</v>
      </c>
      <c r="H759" s="1">
        <f>(dane_7[[#This Row],[Logarytm naturalny]]-$I$2)/$J$2</f>
        <v>0.61647681840634072</v>
      </c>
      <c r="M759" s="1">
        <f t="shared" si="11"/>
        <v>0.73121006644974473</v>
      </c>
    </row>
    <row r="760" spans="1:13" x14ac:dyDescent="0.25">
      <c r="A760" s="1">
        <v>402.4</v>
      </c>
      <c r="B760" s="1">
        <v>402.4</v>
      </c>
      <c r="C760" s="1">
        <f>LN(dane_7[[#This Row],[Dane wejściowe posortowane]])</f>
        <v>5.9974466187855295</v>
      </c>
      <c r="D760" s="1">
        <v>759</v>
      </c>
      <c r="G760" s="1">
        <f>dane_7[[#This Row],[Nr próbki]]/($G$1+1)</f>
        <v>0.75824175824175821</v>
      </c>
      <c r="H760" s="1">
        <f>(dane_7[[#This Row],[Logarytm naturalny]]-$I$2)/$J$2</f>
        <v>0.65070132258783708</v>
      </c>
      <c r="M760" s="1">
        <f t="shared" si="11"/>
        <v>0.74238034536661046</v>
      </c>
    </row>
    <row r="761" spans="1:13" x14ac:dyDescent="0.25">
      <c r="A761" s="1">
        <v>402.4</v>
      </c>
      <c r="B761" s="1">
        <v>402.4</v>
      </c>
      <c r="C761" s="1">
        <f>LN(dane_7[[#This Row],[Dane wejściowe posortowane]])</f>
        <v>5.9974466187855295</v>
      </c>
      <c r="D761" s="1">
        <v>760</v>
      </c>
      <c r="G761" s="1">
        <f>dane_7[[#This Row],[Nr próbki]]/($G$1+1)</f>
        <v>0.75924075924075929</v>
      </c>
      <c r="H761" s="1">
        <f>(dane_7[[#This Row],[Logarytm naturalny]]-$I$2)/$J$2</f>
        <v>0.65070132258783708</v>
      </c>
      <c r="M761" s="1">
        <f t="shared" si="11"/>
        <v>0.74238034536661046</v>
      </c>
    </row>
    <row r="762" spans="1:13" x14ac:dyDescent="0.25">
      <c r="A762" s="1">
        <v>402.4</v>
      </c>
      <c r="B762" s="1">
        <v>402.4</v>
      </c>
      <c r="C762" s="1">
        <f>LN(dane_7[[#This Row],[Dane wejściowe posortowane]])</f>
        <v>5.9974466187855295</v>
      </c>
      <c r="D762" s="1">
        <v>761</v>
      </c>
      <c r="G762" s="1">
        <f>dane_7[[#This Row],[Nr próbki]]/($G$1+1)</f>
        <v>0.76023976023976025</v>
      </c>
      <c r="H762" s="1">
        <f>(dane_7[[#This Row],[Logarytm naturalny]]-$I$2)/$J$2</f>
        <v>0.65070132258783708</v>
      </c>
      <c r="M762" s="1">
        <f t="shared" si="11"/>
        <v>0.74238034536661046</v>
      </c>
    </row>
    <row r="763" spans="1:13" x14ac:dyDescent="0.25">
      <c r="A763" s="1">
        <v>402.4</v>
      </c>
      <c r="B763" s="1">
        <v>402.4</v>
      </c>
      <c r="C763" s="1">
        <f>LN(dane_7[[#This Row],[Dane wejściowe posortowane]])</f>
        <v>5.9974466187855295</v>
      </c>
      <c r="D763" s="1">
        <v>762</v>
      </c>
      <c r="G763" s="1">
        <f>dane_7[[#This Row],[Nr próbki]]/($G$1+1)</f>
        <v>0.76123876123876122</v>
      </c>
      <c r="H763" s="1">
        <f>(dane_7[[#This Row],[Logarytm naturalny]]-$I$2)/$J$2</f>
        <v>0.65070132258783708</v>
      </c>
      <c r="M763" s="1">
        <f t="shared" si="11"/>
        <v>0.74238034536661046</v>
      </c>
    </row>
    <row r="764" spans="1:13" x14ac:dyDescent="0.25">
      <c r="A764" s="1">
        <v>402.4</v>
      </c>
      <c r="B764" s="1">
        <v>402.4</v>
      </c>
      <c r="C764" s="1">
        <f>LN(dane_7[[#This Row],[Dane wejściowe posortowane]])</f>
        <v>5.9974466187855295</v>
      </c>
      <c r="D764" s="1">
        <v>763</v>
      </c>
      <c r="G764" s="1">
        <f>dane_7[[#This Row],[Nr próbki]]/($G$1+1)</f>
        <v>0.76223776223776218</v>
      </c>
      <c r="H764" s="1">
        <f>(dane_7[[#This Row],[Logarytm naturalny]]-$I$2)/$J$2</f>
        <v>0.65070132258783708</v>
      </c>
      <c r="M764" s="1">
        <f t="shared" si="11"/>
        <v>0.74238034536661046</v>
      </c>
    </row>
    <row r="765" spans="1:13" x14ac:dyDescent="0.25">
      <c r="A765" s="1">
        <v>402.4</v>
      </c>
      <c r="B765" s="1">
        <v>402.4</v>
      </c>
      <c r="C765" s="1">
        <f>LN(dane_7[[#This Row],[Dane wejściowe posortowane]])</f>
        <v>5.9974466187855295</v>
      </c>
      <c r="D765" s="1">
        <v>764</v>
      </c>
      <c r="G765" s="1">
        <f>dane_7[[#This Row],[Nr próbki]]/($G$1+1)</f>
        <v>0.76323676323676326</v>
      </c>
      <c r="H765" s="1">
        <f>(dane_7[[#This Row],[Logarytm naturalny]]-$I$2)/$J$2</f>
        <v>0.65070132258783708</v>
      </c>
      <c r="M765" s="1">
        <f t="shared" si="11"/>
        <v>0.74238034536661046</v>
      </c>
    </row>
    <row r="766" spans="1:13" x14ac:dyDescent="0.25">
      <c r="A766" s="1">
        <v>402.4</v>
      </c>
      <c r="B766" s="1">
        <v>402.4</v>
      </c>
      <c r="C766" s="1">
        <f>LN(dane_7[[#This Row],[Dane wejściowe posortowane]])</f>
        <v>5.9974466187855295</v>
      </c>
      <c r="D766" s="1">
        <v>765</v>
      </c>
      <c r="G766" s="1">
        <f>dane_7[[#This Row],[Nr próbki]]/($G$1+1)</f>
        <v>0.76423576423576423</v>
      </c>
      <c r="H766" s="1">
        <f>(dane_7[[#This Row],[Logarytm naturalny]]-$I$2)/$J$2</f>
        <v>0.65070132258783708</v>
      </c>
      <c r="M766" s="1">
        <f t="shared" si="11"/>
        <v>0.74238034536661046</v>
      </c>
    </row>
    <row r="767" spans="1:13" x14ac:dyDescent="0.25">
      <c r="A767" s="1">
        <v>402.4</v>
      </c>
      <c r="B767" s="1">
        <v>402.4</v>
      </c>
      <c r="C767" s="1">
        <f>LN(dane_7[[#This Row],[Dane wejściowe posortowane]])</f>
        <v>5.9974466187855295</v>
      </c>
      <c r="D767" s="1">
        <v>766</v>
      </c>
      <c r="G767" s="1">
        <f>dane_7[[#This Row],[Nr próbki]]/($G$1+1)</f>
        <v>0.76523476523476519</v>
      </c>
      <c r="H767" s="1">
        <f>(dane_7[[#This Row],[Logarytm naturalny]]-$I$2)/$J$2</f>
        <v>0.65070132258783708</v>
      </c>
      <c r="M767" s="1">
        <f t="shared" si="11"/>
        <v>0.74238034536661046</v>
      </c>
    </row>
    <row r="768" spans="1:13" x14ac:dyDescent="0.25">
      <c r="A768" s="1">
        <v>402.4</v>
      </c>
      <c r="B768" s="1">
        <v>402.4</v>
      </c>
      <c r="C768" s="1">
        <f>LN(dane_7[[#This Row],[Dane wejściowe posortowane]])</f>
        <v>5.9974466187855295</v>
      </c>
      <c r="D768" s="1">
        <v>767</v>
      </c>
      <c r="G768" s="1">
        <f>dane_7[[#This Row],[Nr próbki]]/($G$1+1)</f>
        <v>0.76623376623376627</v>
      </c>
      <c r="H768" s="1">
        <f>(dane_7[[#This Row],[Logarytm naturalny]]-$I$2)/$J$2</f>
        <v>0.65070132258783708</v>
      </c>
      <c r="M768" s="1">
        <f t="shared" si="11"/>
        <v>0.74238034536661046</v>
      </c>
    </row>
    <row r="769" spans="1:13" x14ac:dyDescent="0.25">
      <c r="A769" s="1">
        <v>402.4</v>
      </c>
      <c r="B769" s="1">
        <v>402.4</v>
      </c>
      <c r="C769" s="1">
        <f>LN(dane_7[[#This Row],[Dane wejściowe posortowane]])</f>
        <v>5.9974466187855295</v>
      </c>
      <c r="D769" s="1">
        <v>768</v>
      </c>
      <c r="G769" s="1">
        <f>dane_7[[#This Row],[Nr próbki]]/($G$1+1)</f>
        <v>0.76723276723276723</v>
      </c>
      <c r="H769" s="1">
        <f>(dane_7[[#This Row],[Logarytm naturalny]]-$I$2)/$J$2</f>
        <v>0.65070132258783708</v>
      </c>
      <c r="M769" s="1">
        <f t="shared" si="11"/>
        <v>0.74238034536661046</v>
      </c>
    </row>
    <row r="770" spans="1:13" x14ac:dyDescent="0.25">
      <c r="A770" s="1">
        <v>402.4</v>
      </c>
      <c r="B770" s="1">
        <v>402.4</v>
      </c>
      <c r="C770" s="1">
        <f>LN(dane_7[[#This Row],[Dane wejściowe posortowane]])</f>
        <v>5.9974466187855295</v>
      </c>
      <c r="D770" s="1">
        <v>769</v>
      </c>
      <c r="G770" s="1">
        <f>dane_7[[#This Row],[Nr próbki]]/($G$1+1)</f>
        <v>0.7682317682317682</v>
      </c>
      <c r="H770" s="1">
        <f>(dane_7[[#This Row],[Logarytm naturalny]]-$I$2)/$J$2</f>
        <v>0.65070132258783708</v>
      </c>
      <c r="M770" s="1">
        <f t="shared" si="11"/>
        <v>0.74238034536661046</v>
      </c>
    </row>
    <row r="771" spans="1:13" x14ac:dyDescent="0.25">
      <c r="A771" s="1">
        <v>402.4</v>
      </c>
      <c r="B771" s="1">
        <v>402.4</v>
      </c>
      <c r="C771" s="1">
        <f>LN(dane_7[[#This Row],[Dane wejściowe posortowane]])</f>
        <v>5.9974466187855295</v>
      </c>
      <c r="D771" s="1">
        <v>770</v>
      </c>
      <c r="G771" s="1">
        <f>dane_7[[#This Row],[Nr próbki]]/($G$1+1)</f>
        <v>0.76923076923076927</v>
      </c>
      <c r="H771" s="1">
        <f>(dane_7[[#This Row],[Logarytm naturalny]]-$I$2)/$J$2</f>
        <v>0.65070132258783708</v>
      </c>
      <c r="M771" s="1">
        <f t="shared" ref="M771:M834" si="12">LOGNORMDIST(B771:B1770,$I$2,$J$2)</f>
        <v>0.74238034536661046</v>
      </c>
    </row>
    <row r="772" spans="1:13" x14ac:dyDescent="0.25">
      <c r="A772" s="1">
        <v>402.4</v>
      </c>
      <c r="B772" s="1">
        <v>402.4</v>
      </c>
      <c r="C772" s="1">
        <f>LN(dane_7[[#This Row],[Dane wejściowe posortowane]])</f>
        <v>5.9974466187855295</v>
      </c>
      <c r="D772" s="1">
        <v>771</v>
      </c>
      <c r="G772" s="1">
        <f>dane_7[[#This Row],[Nr próbki]]/($G$1+1)</f>
        <v>0.77022977022977024</v>
      </c>
      <c r="H772" s="1">
        <f>(dane_7[[#This Row],[Logarytm naturalny]]-$I$2)/$J$2</f>
        <v>0.65070132258783708</v>
      </c>
      <c r="M772" s="1">
        <f t="shared" si="12"/>
        <v>0.74238034536661046</v>
      </c>
    </row>
    <row r="773" spans="1:13" x14ac:dyDescent="0.25">
      <c r="A773" s="1">
        <v>402.4</v>
      </c>
      <c r="B773" s="1">
        <v>402.4</v>
      </c>
      <c r="C773" s="1">
        <f>LN(dane_7[[#This Row],[Dane wejściowe posortowane]])</f>
        <v>5.9974466187855295</v>
      </c>
      <c r="D773" s="1">
        <v>772</v>
      </c>
      <c r="G773" s="1">
        <f>dane_7[[#This Row],[Nr próbki]]/($G$1+1)</f>
        <v>0.7712287712287712</v>
      </c>
      <c r="H773" s="1">
        <f>(dane_7[[#This Row],[Logarytm naturalny]]-$I$2)/$J$2</f>
        <v>0.65070132258783708</v>
      </c>
      <c r="M773" s="1">
        <f t="shared" si="12"/>
        <v>0.74238034536661046</v>
      </c>
    </row>
    <row r="774" spans="1:13" x14ac:dyDescent="0.25">
      <c r="A774" s="1">
        <v>402.4</v>
      </c>
      <c r="B774" s="1">
        <v>402.4</v>
      </c>
      <c r="C774" s="1">
        <f>LN(dane_7[[#This Row],[Dane wejściowe posortowane]])</f>
        <v>5.9974466187855295</v>
      </c>
      <c r="D774" s="1">
        <v>773</v>
      </c>
      <c r="G774" s="1">
        <f>dane_7[[#This Row],[Nr próbki]]/($G$1+1)</f>
        <v>0.77222777222777228</v>
      </c>
      <c r="H774" s="1">
        <f>(dane_7[[#This Row],[Logarytm naturalny]]-$I$2)/$J$2</f>
        <v>0.65070132258783708</v>
      </c>
      <c r="M774" s="1">
        <f t="shared" si="12"/>
        <v>0.74238034536661046</v>
      </c>
    </row>
    <row r="775" spans="1:13" x14ac:dyDescent="0.25">
      <c r="A775" s="1">
        <v>402.4</v>
      </c>
      <c r="B775" s="1">
        <v>402.4</v>
      </c>
      <c r="C775" s="1">
        <f>LN(dane_7[[#This Row],[Dane wejściowe posortowane]])</f>
        <v>5.9974466187855295</v>
      </c>
      <c r="D775" s="1">
        <v>774</v>
      </c>
      <c r="G775" s="1">
        <f>dane_7[[#This Row],[Nr próbki]]/($G$1+1)</f>
        <v>0.77322677322677325</v>
      </c>
      <c r="H775" s="1">
        <f>(dane_7[[#This Row],[Logarytm naturalny]]-$I$2)/$J$2</f>
        <v>0.65070132258783708</v>
      </c>
      <c r="M775" s="1">
        <f t="shared" si="12"/>
        <v>0.74238034536661046</v>
      </c>
    </row>
    <row r="776" spans="1:13" x14ac:dyDescent="0.25">
      <c r="A776" s="1">
        <v>402.4</v>
      </c>
      <c r="B776" s="1">
        <v>402.4</v>
      </c>
      <c r="C776" s="1">
        <f>LN(dane_7[[#This Row],[Dane wejściowe posortowane]])</f>
        <v>5.9974466187855295</v>
      </c>
      <c r="D776" s="1">
        <v>775</v>
      </c>
      <c r="G776" s="1">
        <f>dane_7[[#This Row],[Nr próbki]]/($G$1+1)</f>
        <v>0.77422577422577421</v>
      </c>
      <c r="H776" s="1">
        <f>(dane_7[[#This Row],[Logarytm naturalny]]-$I$2)/$J$2</f>
        <v>0.65070132258783708</v>
      </c>
      <c r="M776" s="1">
        <f t="shared" si="12"/>
        <v>0.74238034536661046</v>
      </c>
    </row>
    <row r="777" spans="1:13" x14ac:dyDescent="0.25">
      <c r="A777" s="1">
        <v>402.4</v>
      </c>
      <c r="B777" s="1">
        <v>402.4</v>
      </c>
      <c r="C777" s="1">
        <f>LN(dane_7[[#This Row],[Dane wejściowe posortowane]])</f>
        <v>5.9974466187855295</v>
      </c>
      <c r="D777" s="1">
        <v>776</v>
      </c>
      <c r="G777" s="1">
        <f>dane_7[[#This Row],[Nr próbki]]/($G$1+1)</f>
        <v>0.77522477522477518</v>
      </c>
      <c r="H777" s="1">
        <f>(dane_7[[#This Row],[Logarytm naturalny]]-$I$2)/$J$2</f>
        <v>0.65070132258783708</v>
      </c>
      <c r="M777" s="1">
        <f t="shared" si="12"/>
        <v>0.74238034536661046</v>
      </c>
    </row>
    <row r="778" spans="1:13" x14ac:dyDescent="0.25">
      <c r="A778" s="1">
        <v>402.4</v>
      </c>
      <c r="B778" s="1">
        <v>402.4</v>
      </c>
      <c r="C778" s="1">
        <f>LN(dane_7[[#This Row],[Dane wejściowe posortowane]])</f>
        <v>5.9974466187855295</v>
      </c>
      <c r="D778" s="1">
        <v>777</v>
      </c>
      <c r="G778" s="1">
        <f>dane_7[[#This Row],[Nr próbki]]/($G$1+1)</f>
        <v>0.77622377622377625</v>
      </c>
      <c r="H778" s="1">
        <f>(dane_7[[#This Row],[Logarytm naturalny]]-$I$2)/$J$2</f>
        <v>0.65070132258783708</v>
      </c>
      <c r="M778" s="1">
        <f t="shared" si="12"/>
        <v>0.74238034536661046</v>
      </c>
    </row>
    <row r="779" spans="1:13" x14ac:dyDescent="0.25">
      <c r="A779" s="1">
        <v>402.4</v>
      </c>
      <c r="B779" s="1">
        <v>402.4</v>
      </c>
      <c r="C779" s="1">
        <f>LN(dane_7[[#This Row],[Dane wejściowe posortowane]])</f>
        <v>5.9974466187855295</v>
      </c>
      <c r="D779" s="1">
        <v>778</v>
      </c>
      <c r="G779" s="1">
        <f>dane_7[[#This Row],[Nr próbki]]/($G$1+1)</f>
        <v>0.77722277722277722</v>
      </c>
      <c r="H779" s="1">
        <f>(dane_7[[#This Row],[Logarytm naturalny]]-$I$2)/$J$2</f>
        <v>0.65070132258783708</v>
      </c>
      <c r="M779" s="1">
        <f t="shared" si="12"/>
        <v>0.74238034536661046</v>
      </c>
    </row>
    <row r="780" spans="1:13" x14ac:dyDescent="0.25">
      <c r="A780" s="1">
        <v>402.4</v>
      </c>
      <c r="B780" s="1">
        <v>402.4</v>
      </c>
      <c r="C780" s="1">
        <f>LN(dane_7[[#This Row],[Dane wejściowe posortowane]])</f>
        <v>5.9974466187855295</v>
      </c>
      <c r="D780" s="1">
        <v>779</v>
      </c>
      <c r="G780" s="1">
        <f>dane_7[[#This Row],[Nr próbki]]/($G$1+1)</f>
        <v>0.77822177822177818</v>
      </c>
      <c r="H780" s="1">
        <f>(dane_7[[#This Row],[Logarytm naturalny]]-$I$2)/$J$2</f>
        <v>0.65070132258783708</v>
      </c>
      <c r="M780" s="1">
        <f t="shared" si="12"/>
        <v>0.74238034536661046</v>
      </c>
    </row>
    <row r="781" spans="1:13" x14ac:dyDescent="0.25">
      <c r="A781" s="1">
        <v>402.5</v>
      </c>
      <c r="B781" s="1">
        <v>402.5</v>
      </c>
      <c r="C781" s="1">
        <f>LN(dane_7[[#This Row],[Dane wejściowe posortowane]])</f>
        <v>5.9976950968586182</v>
      </c>
      <c r="D781" s="1">
        <v>780</v>
      </c>
      <c r="G781" s="1">
        <f>dane_7[[#This Row],[Nr próbki]]/($G$1+1)</f>
        <v>0.77922077922077926</v>
      </c>
      <c r="H781" s="1">
        <f>(dane_7[[#This Row],[Logarytm naturalny]]-$I$2)/$J$2</f>
        <v>0.68491732273042283</v>
      </c>
      <c r="M781" s="1">
        <f t="shared" si="12"/>
        <v>0.75330195290790558</v>
      </c>
    </row>
    <row r="782" spans="1:13" x14ac:dyDescent="0.25">
      <c r="A782" s="1">
        <v>402.5</v>
      </c>
      <c r="B782" s="1">
        <v>402.5</v>
      </c>
      <c r="C782" s="1">
        <f>LN(dane_7[[#This Row],[Dane wejściowe posortowane]])</f>
        <v>5.9976950968586182</v>
      </c>
      <c r="D782" s="1">
        <v>781</v>
      </c>
      <c r="G782" s="1">
        <f>dane_7[[#This Row],[Nr próbki]]/($G$1+1)</f>
        <v>0.78021978021978022</v>
      </c>
      <c r="H782" s="1">
        <f>(dane_7[[#This Row],[Logarytm naturalny]]-$I$2)/$J$2</f>
        <v>0.68491732273042283</v>
      </c>
      <c r="M782" s="1">
        <f t="shared" si="12"/>
        <v>0.75330195290790558</v>
      </c>
    </row>
    <row r="783" spans="1:13" x14ac:dyDescent="0.25">
      <c r="A783" s="1">
        <v>402.5</v>
      </c>
      <c r="B783" s="1">
        <v>402.5</v>
      </c>
      <c r="C783" s="1">
        <f>LN(dane_7[[#This Row],[Dane wejściowe posortowane]])</f>
        <v>5.9976950968586182</v>
      </c>
      <c r="D783" s="1">
        <v>782</v>
      </c>
      <c r="G783" s="1">
        <f>dane_7[[#This Row],[Nr próbki]]/($G$1+1)</f>
        <v>0.78121878121878119</v>
      </c>
      <c r="H783" s="1">
        <f>(dane_7[[#This Row],[Logarytm naturalny]]-$I$2)/$J$2</f>
        <v>0.68491732273042283</v>
      </c>
      <c r="M783" s="1">
        <f t="shared" si="12"/>
        <v>0.75330195290790558</v>
      </c>
    </row>
    <row r="784" spans="1:13" x14ac:dyDescent="0.25">
      <c r="A784" s="1">
        <v>402.5</v>
      </c>
      <c r="B784" s="1">
        <v>402.5</v>
      </c>
      <c r="C784" s="1">
        <f>LN(dane_7[[#This Row],[Dane wejściowe posortowane]])</f>
        <v>5.9976950968586182</v>
      </c>
      <c r="D784" s="1">
        <v>783</v>
      </c>
      <c r="G784" s="1">
        <f>dane_7[[#This Row],[Nr próbki]]/($G$1+1)</f>
        <v>0.78221778221778226</v>
      </c>
      <c r="H784" s="1">
        <f>(dane_7[[#This Row],[Logarytm naturalny]]-$I$2)/$J$2</f>
        <v>0.68491732273042283</v>
      </c>
      <c r="M784" s="1">
        <f t="shared" si="12"/>
        <v>0.75330195290790558</v>
      </c>
    </row>
    <row r="785" spans="1:13" x14ac:dyDescent="0.25">
      <c r="A785" s="1">
        <v>402.5</v>
      </c>
      <c r="B785" s="1">
        <v>402.5</v>
      </c>
      <c r="C785" s="1">
        <f>LN(dane_7[[#This Row],[Dane wejściowe posortowane]])</f>
        <v>5.9976950968586182</v>
      </c>
      <c r="D785" s="1">
        <v>784</v>
      </c>
      <c r="G785" s="1">
        <f>dane_7[[#This Row],[Nr próbki]]/($G$1+1)</f>
        <v>0.78321678321678323</v>
      </c>
      <c r="H785" s="1">
        <f>(dane_7[[#This Row],[Logarytm naturalny]]-$I$2)/$J$2</f>
        <v>0.68491732273042283</v>
      </c>
      <c r="M785" s="1">
        <f t="shared" si="12"/>
        <v>0.75330195290790558</v>
      </c>
    </row>
    <row r="786" spans="1:13" x14ac:dyDescent="0.25">
      <c r="A786" s="1">
        <v>402.5</v>
      </c>
      <c r="B786" s="1">
        <v>402.5</v>
      </c>
      <c r="C786" s="1">
        <f>LN(dane_7[[#This Row],[Dane wejściowe posortowane]])</f>
        <v>5.9976950968586182</v>
      </c>
      <c r="D786" s="1">
        <v>785</v>
      </c>
      <c r="G786" s="1">
        <f>dane_7[[#This Row],[Nr próbki]]/($G$1+1)</f>
        <v>0.7842157842157842</v>
      </c>
      <c r="H786" s="1">
        <f>(dane_7[[#This Row],[Logarytm naturalny]]-$I$2)/$J$2</f>
        <v>0.68491732273042283</v>
      </c>
      <c r="M786" s="1">
        <f t="shared" si="12"/>
        <v>0.75330195290790558</v>
      </c>
    </row>
    <row r="787" spans="1:13" x14ac:dyDescent="0.25">
      <c r="A787" s="1">
        <v>402.5</v>
      </c>
      <c r="B787" s="1">
        <v>402.5</v>
      </c>
      <c r="C787" s="1">
        <f>LN(dane_7[[#This Row],[Dane wejściowe posortowane]])</f>
        <v>5.9976950968586182</v>
      </c>
      <c r="D787" s="1">
        <v>786</v>
      </c>
      <c r="G787" s="1">
        <f>dane_7[[#This Row],[Nr próbki]]/($G$1+1)</f>
        <v>0.78521478521478516</v>
      </c>
      <c r="H787" s="1">
        <f>(dane_7[[#This Row],[Logarytm naturalny]]-$I$2)/$J$2</f>
        <v>0.68491732273042283</v>
      </c>
      <c r="M787" s="1">
        <f t="shared" si="12"/>
        <v>0.75330195290790558</v>
      </c>
    </row>
    <row r="788" spans="1:13" x14ac:dyDescent="0.25">
      <c r="A788" s="1">
        <v>402.5</v>
      </c>
      <c r="B788" s="1">
        <v>402.5</v>
      </c>
      <c r="C788" s="1">
        <f>LN(dane_7[[#This Row],[Dane wejściowe posortowane]])</f>
        <v>5.9976950968586182</v>
      </c>
      <c r="D788" s="1">
        <v>787</v>
      </c>
      <c r="G788" s="1">
        <f>dane_7[[#This Row],[Nr próbki]]/($G$1+1)</f>
        <v>0.78621378621378624</v>
      </c>
      <c r="H788" s="1">
        <f>(dane_7[[#This Row],[Logarytm naturalny]]-$I$2)/$J$2</f>
        <v>0.68491732273042283</v>
      </c>
      <c r="M788" s="1">
        <f t="shared" si="12"/>
        <v>0.75330195290790558</v>
      </c>
    </row>
    <row r="789" spans="1:13" x14ac:dyDescent="0.25">
      <c r="A789" s="1">
        <v>402.5</v>
      </c>
      <c r="B789" s="1">
        <v>402.5</v>
      </c>
      <c r="C789" s="1">
        <f>LN(dane_7[[#This Row],[Dane wejściowe posortowane]])</f>
        <v>5.9976950968586182</v>
      </c>
      <c r="D789" s="1">
        <v>788</v>
      </c>
      <c r="G789" s="1">
        <f>dane_7[[#This Row],[Nr próbki]]/($G$1+1)</f>
        <v>0.7872127872127872</v>
      </c>
      <c r="H789" s="1">
        <f>(dane_7[[#This Row],[Logarytm naturalny]]-$I$2)/$J$2</f>
        <v>0.68491732273042283</v>
      </c>
      <c r="M789" s="1">
        <f t="shared" si="12"/>
        <v>0.75330195290790558</v>
      </c>
    </row>
    <row r="790" spans="1:13" x14ac:dyDescent="0.25">
      <c r="A790" s="1">
        <v>402.5</v>
      </c>
      <c r="B790" s="1">
        <v>402.5</v>
      </c>
      <c r="C790" s="1">
        <f>LN(dane_7[[#This Row],[Dane wejściowe posortowane]])</f>
        <v>5.9976950968586182</v>
      </c>
      <c r="D790" s="1">
        <v>789</v>
      </c>
      <c r="G790" s="1">
        <f>dane_7[[#This Row],[Nr próbki]]/($G$1+1)</f>
        <v>0.78821178821178817</v>
      </c>
      <c r="H790" s="1">
        <f>(dane_7[[#This Row],[Logarytm naturalny]]-$I$2)/$J$2</f>
        <v>0.68491732273042283</v>
      </c>
      <c r="M790" s="1">
        <f t="shared" si="12"/>
        <v>0.75330195290790558</v>
      </c>
    </row>
    <row r="791" spans="1:13" x14ac:dyDescent="0.25">
      <c r="A791" s="1">
        <v>402.5</v>
      </c>
      <c r="B791" s="1">
        <v>402.5</v>
      </c>
      <c r="C791" s="1">
        <f>LN(dane_7[[#This Row],[Dane wejściowe posortowane]])</f>
        <v>5.9976950968586182</v>
      </c>
      <c r="D791" s="1">
        <v>790</v>
      </c>
      <c r="G791" s="1">
        <f>dane_7[[#This Row],[Nr próbki]]/($G$1+1)</f>
        <v>0.78921078921078924</v>
      </c>
      <c r="H791" s="1">
        <f>(dane_7[[#This Row],[Logarytm naturalny]]-$I$2)/$J$2</f>
        <v>0.68491732273042283</v>
      </c>
      <c r="M791" s="1">
        <f t="shared" si="12"/>
        <v>0.75330195290790558</v>
      </c>
    </row>
    <row r="792" spans="1:13" x14ac:dyDescent="0.25">
      <c r="A792" s="1">
        <v>402.5</v>
      </c>
      <c r="B792" s="1">
        <v>402.5</v>
      </c>
      <c r="C792" s="1">
        <f>LN(dane_7[[#This Row],[Dane wejściowe posortowane]])</f>
        <v>5.9976950968586182</v>
      </c>
      <c r="D792" s="1">
        <v>791</v>
      </c>
      <c r="G792" s="1">
        <f>dane_7[[#This Row],[Nr próbki]]/($G$1+1)</f>
        <v>0.79020979020979021</v>
      </c>
      <c r="H792" s="1">
        <f>(dane_7[[#This Row],[Logarytm naturalny]]-$I$2)/$J$2</f>
        <v>0.68491732273042283</v>
      </c>
      <c r="M792" s="1">
        <f t="shared" si="12"/>
        <v>0.75330195290790558</v>
      </c>
    </row>
    <row r="793" spans="1:13" x14ac:dyDescent="0.25">
      <c r="A793" s="1">
        <v>402.5</v>
      </c>
      <c r="B793" s="1">
        <v>402.5</v>
      </c>
      <c r="C793" s="1">
        <f>LN(dane_7[[#This Row],[Dane wejściowe posortowane]])</f>
        <v>5.9976950968586182</v>
      </c>
      <c r="D793" s="1">
        <v>792</v>
      </c>
      <c r="G793" s="1">
        <f>dane_7[[#This Row],[Nr próbki]]/($G$1+1)</f>
        <v>0.79120879120879117</v>
      </c>
      <c r="H793" s="1">
        <f>(dane_7[[#This Row],[Logarytm naturalny]]-$I$2)/$J$2</f>
        <v>0.68491732273042283</v>
      </c>
      <c r="M793" s="1">
        <f t="shared" si="12"/>
        <v>0.75330195290790558</v>
      </c>
    </row>
    <row r="794" spans="1:13" x14ac:dyDescent="0.25">
      <c r="A794" s="1">
        <v>402.5</v>
      </c>
      <c r="B794" s="1">
        <v>402.5</v>
      </c>
      <c r="C794" s="1">
        <f>LN(dane_7[[#This Row],[Dane wejściowe posortowane]])</f>
        <v>5.9976950968586182</v>
      </c>
      <c r="D794" s="1">
        <v>793</v>
      </c>
      <c r="G794" s="1">
        <f>dane_7[[#This Row],[Nr próbki]]/($G$1+1)</f>
        <v>0.79220779220779225</v>
      </c>
      <c r="H794" s="1">
        <f>(dane_7[[#This Row],[Logarytm naturalny]]-$I$2)/$J$2</f>
        <v>0.68491732273042283</v>
      </c>
      <c r="M794" s="1">
        <f t="shared" si="12"/>
        <v>0.75330195290790558</v>
      </c>
    </row>
    <row r="795" spans="1:13" x14ac:dyDescent="0.25">
      <c r="A795" s="1">
        <v>402.5</v>
      </c>
      <c r="B795" s="1">
        <v>402.5</v>
      </c>
      <c r="C795" s="1">
        <f>LN(dane_7[[#This Row],[Dane wejściowe posortowane]])</f>
        <v>5.9976950968586182</v>
      </c>
      <c r="D795" s="1">
        <v>794</v>
      </c>
      <c r="G795" s="1">
        <f>dane_7[[#This Row],[Nr próbki]]/($G$1+1)</f>
        <v>0.79320679320679321</v>
      </c>
      <c r="H795" s="1">
        <f>(dane_7[[#This Row],[Logarytm naturalny]]-$I$2)/$J$2</f>
        <v>0.68491732273042283</v>
      </c>
      <c r="M795" s="1">
        <f t="shared" si="12"/>
        <v>0.75330195290790558</v>
      </c>
    </row>
    <row r="796" spans="1:13" x14ac:dyDescent="0.25">
      <c r="A796" s="1">
        <v>402.5</v>
      </c>
      <c r="B796" s="1">
        <v>402.5</v>
      </c>
      <c r="C796" s="1">
        <f>LN(dane_7[[#This Row],[Dane wejściowe posortowane]])</f>
        <v>5.9976950968586182</v>
      </c>
      <c r="D796" s="1">
        <v>795</v>
      </c>
      <c r="G796" s="1">
        <f>dane_7[[#This Row],[Nr próbki]]/($G$1+1)</f>
        <v>0.79420579420579418</v>
      </c>
      <c r="H796" s="1">
        <f>(dane_7[[#This Row],[Logarytm naturalny]]-$I$2)/$J$2</f>
        <v>0.68491732273042283</v>
      </c>
      <c r="M796" s="1">
        <f t="shared" si="12"/>
        <v>0.75330195290790558</v>
      </c>
    </row>
    <row r="797" spans="1:13" x14ac:dyDescent="0.25">
      <c r="A797" s="1">
        <v>402.6</v>
      </c>
      <c r="B797" s="1">
        <v>402.6</v>
      </c>
      <c r="C797" s="1">
        <f>LN(dane_7[[#This Row],[Dane wejściowe posortowane]])</f>
        <v>5.9979435132056915</v>
      </c>
      <c r="D797" s="1">
        <v>796</v>
      </c>
      <c r="G797" s="1">
        <f>dane_7[[#This Row],[Nr próbki]]/($G$1+1)</f>
        <v>0.79520479520479526</v>
      </c>
      <c r="H797" s="1">
        <f>(dane_7[[#This Row],[Logarytm naturalny]]-$I$2)/$J$2</f>
        <v>0.71912482305921877</v>
      </c>
      <c r="M797" s="1">
        <f t="shared" si="12"/>
        <v>0.76396799302714846</v>
      </c>
    </row>
    <row r="798" spans="1:13" x14ac:dyDescent="0.25">
      <c r="A798" s="1">
        <v>402.6</v>
      </c>
      <c r="B798" s="1">
        <v>402.6</v>
      </c>
      <c r="C798" s="1">
        <f>LN(dane_7[[#This Row],[Dane wejściowe posortowane]])</f>
        <v>5.9979435132056915</v>
      </c>
      <c r="D798" s="1">
        <v>797</v>
      </c>
      <c r="G798" s="1">
        <f>dane_7[[#This Row],[Nr próbki]]/($G$1+1)</f>
        <v>0.79620379620379622</v>
      </c>
      <c r="H798" s="1">
        <f>(dane_7[[#This Row],[Logarytm naturalny]]-$I$2)/$J$2</f>
        <v>0.71912482305921877</v>
      </c>
      <c r="M798" s="1">
        <f t="shared" si="12"/>
        <v>0.76396799302714846</v>
      </c>
    </row>
    <row r="799" spans="1:13" x14ac:dyDescent="0.25">
      <c r="A799" s="1">
        <v>402.6</v>
      </c>
      <c r="B799" s="1">
        <v>402.6</v>
      </c>
      <c r="C799" s="1">
        <f>LN(dane_7[[#This Row],[Dane wejściowe posortowane]])</f>
        <v>5.9979435132056915</v>
      </c>
      <c r="D799" s="1">
        <v>798</v>
      </c>
      <c r="G799" s="1">
        <f>dane_7[[#This Row],[Nr próbki]]/($G$1+1)</f>
        <v>0.79720279720279719</v>
      </c>
      <c r="H799" s="1">
        <f>(dane_7[[#This Row],[Logarytm naturalny]]-$I$2)/$J$2</f>
        <v>0.71912482305921877</v>
      </c>
      <c r="M799" s="1">
        <f t="shared" si="12"/>
        <v>0.76396799302714846</v>
      </c>
    </row>
    <row r="800" spans="1:13" x14ac:dyDescent="0.25">
      <c r="A800" s="1">
        <v>402.6</v>
      </c>
      <c r="B800" s="1">
        <v>402.6</v>
      </c>
      <c r="C800" s="1">
        <f>LN(dane_7[[#This Row],[Dane wejściowe posortowane]])</f>
        <v>5.9979435132056915</v>
      </c>
      <c r="D800" s="1">
        <v>799</v>
      </c>
      <c r="G800" s="1">
        <f>dane_7[[#This Row],[Nr próbki]]/($G$1+1)</f>
        <v>0.79820179820179815</v>
      </c>
      <c r="H800" s="1">
        <f>(dane_7[[#This Row],[Logarytm naturalny]]-$I$2)/$J$2</f>
        <v>0.71912482305921877</v>
      </c>
      <c r="M800" s="1">
        <f t="shared" si="12"/>
        <v>0.76396799302714846</v>
      </c>
    </row>
    <row r="801" spans="1:13" x14ac:dyDescent="0.25">
      <c r="A801" s="1">
        <v>402.6</v>
      </c>
      <c r="B801" s="1">
        <v>402.6</v>
      </c>
      <c r="C801" s="1">
        <f>LN(dane_7[[#This Row],[Dane wejściowe posortowane]])</f>
        <v>5.9979435132056915</v>
      </c>
      <c r="D801" s="1">
        <v>800</v>
      </c>
      <c r="G801" s="1">
        <f>dane_7[[#This Row],[Nr próbki]]/($G$1+1)</f>
        <v>0.79920079920079923</v>
      </c>
      <c r="H801" s="1">
        <f>(dane_7[[#This Row],[Logarytm naturalny]]-$I$2)/$J$2</f>
        <v>0.71912482305921877</v>
      </c>
      <c r="M801" s="1">
        <f t="shared" si="12"/>
        <v>0.76396799302714846</v>
      </c>
    </row>
    <row r="802" spans="1:13" x14ac:dyDescent="0.25">
      <c r="A802" s="1">
        <v>402.6</v>
      </c>
      <c r="B802" s="1">
        <v>402.6</v>
      </c>
      <c r="C802" s="1">
        <f>LN(dane_7[[#This Row],[Dane wejściowe posortowane]])</f>
        <v>5.9979435132056915</v>
      </c>
      <c r="D802" s="1">
        <v>801</v>
      </c>
      <c r="G802" s="1">
        <f>dane_7[[#This Row],[Nr próbki]]/($G$1+1)</f>
        <v>0.80019980019980019</v>
      </c>
      <c r="H802" s="1">
        <f>(dane_7[[#This Row],[Logarytm naturalny]]-$I$2)/$J$2</f>
        <v>0.71912482305921877</v>
      </c>
      <c r="M802" s="1">
        <f t="shared" si="12"/>
        <v>0.76396799302714846</v>
      </c>
    </row>
    <row r="803" spans="1:13" x14ac:dyDescent="0.25">
      <c r="A803" s="1">
        <v>402.6</v>
      </c>
      <c r="B803" s="1">
        <v>402.6</v>
      </c>
      <c r="C803" s="1">
        <f>LN(dane_7[[#This Row],[Dane wejściowe posortowane]])</f>
        <v>5.9979435132056915</v>
      </c>
      <c r="D803" s="1">
        <v>802</v>
      </c>
      <c r="G803" s="1">
        <f>dane_7[[#This Row],[Nr próbki]]/($G$1+1)</f>
        <v>0.80119880119880116</v>
      </c>
      <c r="H803" s="1">
        <f>(dane_7[[#This Row],[Logarytm naturalny]]-$I$2)/$J$2</f>
        <v>0.71912482305921877</v>
      </c>
      <c r="M803" s="1">
        <f t="shared" si="12"/>
        <v>0.76396799302714846</v>
      </c>
    </row>
    <row r="804" spans="1:13" x14ac:dyDescent="0.25">
      <c r="A804" s="1">
        <v>402.6</v>
      </c>
      <c r="B804" s="1">
        <v>402.6</v>
      </c>
      <c r="C804" s="1">
        <f>LN(dane_7[[#This Row],[Dane wejściowe posortowane]])</f>
        <v>5.9979435132056915</v>
      </c>
      <c r="D804" s="1">
        <v>803</v>
      </c>
      <c r="G804" s="1">
        <f>dane_7[[#This Row],[Nr próbki]]/($G$1+1)</f>
        <v>0.80219780219780223</v>
      </c>
      <c r="H804" s="1">
        <f>(dane_7[[#This Row],[Logarytm naturalny]]-$I$2)/$J$2</f>
        <v>0.71912482305921877</v>
      </c>
      <c r="M804" s="1">
        <f t="shared" si="12"/>
        <v>0.76396799302714846</v>
      </c>
    </row>
    <row r="805" spans="1:13" x14ac:dyDescent="0.25">
      <c r="A805" s="1">
        <v>402.6</v>
      </c>
      <c r="B805" s="1">
        <v>402.6</v>
      </c>
      <c r="C805" s="1">
        <f>LN(dane_7[[#This Row],[Dane wejściowe posortowane]])</f>
        <v>5.9979435132056915</v>
      </c>
      <c r="D805" s="1">
        <v>804</v>
      </c>
      <c r="G805" s="1">
        <f>dane_7[[#This Row],[Nr próbki]]/($G$1+1)</f>
        <v>0.8031968031968032</v>
      </c>
      <c r="H805" s="1">
        <f>(dane_7[[#This Row],[Logarytm naturalny]]-$I$2)/$J$2</f>
        <v>0.71912482305921877</v>
      </c>
      <c r="M805" s="1">
        <f t="shared" si="12"/>
        <v>0.76396799302714846</v>
      </c>
    </row>
    <row r="806" spans="1:13" x14ac:dyDescent="0.25">
      <c r="A806" s="1">
        <v>402.6</v>
      </c>
      <c r="B806" s="1">
        <v>402.6</v>
      </c>
      <c r="C806" s="1">
        <f>LN(dane_7[[#This Row],[Dane wejściowe posortowane]])</f>
        <v>5.9979435132056915</v>
      </c>
      <c r="D806" s="1">
        <v>805</v>
      </c>
      <c r="G806" s="1">
        <f>dane_7[[#This Row],[Nr próbki]]/($G$1+1)</f>
        <v>0.80419580419580416</v>
      </c>
      <c r="H806" s="1">
        <f>(dane_7[[#This Row],[Logarytm naturalny]]-$I$2)/$J$2</f>
        <v>0.71912482305921877</v>
      </c>
      <c r="M806" s="1">
        <f t="shared" si="12"/>
        <v>0.76396799302714846</v>
      </c>
    </row>
    <row r="807" spans="1:13" x14ac:dyDescent="0.25">
      <c r="A807" s="1">
        <v>402.6</v>
      </c>
      <c r="B807" s="1">
        <v>402.6</v>
      </c>
      <c r="C807" s="1">
        <f>LN(dane_7[[#This Row],[Dane wejściowe posortowane]])</f>
        <v>5.9979435132056915</v>
      </c>
      <c r="D807" s="1">
        <v>806</v>
      </c>
      <c r="G807" s="1">
        <f>dane_7[[#This Row],[Nr próbki]]/($G$1+1)</f>
        <v>0.80519480519480524</v>
      </c>
      <c r="H807" s="1">
        <f>(dane_7[[#This Row],[Logarytm naturalny]]-$I$2)/$J$2</f>
        <v>0.71912482305921877</v>
      </c>
      <c r="M807" s="1">
        <f t="shared" si="12"/>
        <v>0.76396799302714846</v>
      </c>
    </row>
    <row r="808" spans="1:13" x14ac:dyDescent="0.25">
      <c r="A808" s="1">
        <v>402.6</v>
      </c>
      <c r="B808" s="1">
        <v>402.6</v>
      </c>
      <c r="C808" s="1">
        <f>LN(dane_7[[#This Row],[Dane wejściowe posortowane]])</f>
        <v>5.9979435132056915</v>
      </c>
      <c r="D808" s="1">
        <v>807</v>
      </c>
      <c r="G808" s="1">
        <f>dane_7[[#This Row],[Nr próbki]]/($G$1+1)</f>
        <v>0.80619380619380621</v>
      </c>
      <c r="H808" s="1">
        <f>(dane_7[[#This Row],[Logarytm naturalny]]-$I$2)/$J$2</f>
        <v>0.71912482305921877</v>
      </c>
      <c r="M808" s="1">
        <f t="shared" si="12"/>
        <v>0.76396799302714846</v>
      </c>
    </row>
    <row r="809" spans="1:13" x14ac:dyDescent="0.25">
      <c r="A809" s="1">
        <v>402.6</v>
      </c>
      <c r="B809" s="1">
        <v>402.6</v>
      </c>
      <c r="C809" s="1">
        <f>LN(dane_7[[#This Row],[Dane wejściowe posortowane]])</f>
        <v>5.9979435132056915</v>
      </c>
      <c r="D809" s="1">
        <v>808</v>
      </c>
      <c r="G809" s="1">
        <f>dane_7[[#This Row],[Nr próbki]]/($G$1+1)</f>
        <v>0.80719280719280717</v>
      </c>
      <c r="H809" s="1">
        <f>(dane_7[[#This Row],[Logarytm naturalny]]-$I$2)/$J$2</f>
        <v>0.71912482305921877</v>
      </c>
      <c r="M809" s="1">
        <f t="shared" si="12"/>
        <v>0.76396799302714846</v>
      </c>
    </row>
    <row r="810" spans="1:13" x14ac:dyDescent="0.25">
      <c r="A810" s="1">
        <v>402.6</v>
      </c>
      <c r="B810" s="1">
        <v>402.6</v>
      </c>
      <c r="C810" s="1">
        <f>LN(dane_7[[#This Row],[Dane wejściowe posortowane]])</f>
        <v>5.9979435132056915</v>
      </c>
      <c r="D810" s="1">
        <v>809</v>
      </c>
      <c r="G810" s="1">
        <f>dane_7[[#This Row],[Nr próbki]]/($G$1+1)</f>
        <v>0.80819180819180814</v>
      </c>
      <c r="H810" s="1">
        <f>(dane_7[[#This Row],[Logarytm naturalny]]-$I$2)/$J$2</f>
        <v>0.71912482305921877</v>
      </c>
      <c r="M810" s="1">
        <f t="shared" si="12"/>
        <v>0.76396799302714846</v>
      </c>
    </row>
    <row r="811" spans="1:13" x14ac:dyDescent="0.25">
      <c r="A811" s="1">
        <v>402.7</v>
      </c>
      <c r="B811" s="1">
        <v>402.7</v>
      </c>
      <c r="C811" s="1">
        <f>LN(dane_7[[#This Row],[Dane wejściowe posortowane]])</f>
        <v>5.9981918678574084</v>
      </c>
      <c r="D811" s="1">
        <v>810</v>
      </c>
      <c r="G811" s="1">
        <f>dane_7[[#This Row],[Nr próbki]]/($G$1+1)</f>
        <v>0.80919080919080921</v>
      </c>
      <c r="H811" s="1">
        <f>(dane_7[[#This Row],[Logarytm naturalny]]-$I$2)/$J$2</f>
        <v>0.7533238277960439</v>
      </c>
      <c r="M811" s="1">
        <f t="shared" si="12"/>
        <v>0.77437232819371615</v>
      </c>
    </row>
    <row r="812" spans="1:13" x14ac:dyDescent="0.25">
      <c r="A812" s="1">
        <v>402.7</v>
      </c>
      <c r="B812" s="1">
        <v>402.7</v>
      </c>
      <c r="C812" s="1">
        <f>LN(dane_7[[#This Row],[Dane wejściowe posortowane]])</f>
        <v>5.9981918678574084</v>
      </c>
      <c r="D812" s="1">
        <v>811</v>
      </c>
      <c r="G812" s="1">
        <f>dane_7[[#This Row],[Nr próbki]]/($G$1+1)</f>
        <v>0.81018981018981018</v>
      </c>
      <c r="H812" s="1">
        <f>(dane_7[[#This Row],[Logarytm naturalny]]-$I$2)/$J$2</f>
        <v>0.7533238277960439</v>
      </c>
      <c r="M812" s="1">
        <f t="shared" si="12"/>
        <v>0.77437232819371615</v>
      </c>
    </row>
    <row r="813" spans="1:13" x14ac:dyDescent="0.25">
      <c r="A813" s="1">
        <v>402.7</v>
      </c>
      <c r="B813" s="1">
        <v>402.7</v>
      </c>
      <c r="C813" s="1">
        <f>LN(dane_7[[#This Row],[Dane wejściowe posortowane]])</f>
        <v>5.9981918678574084</v>
      </c>
      <c r="D813" s="1">
        <v>812</v>
      </c>
      <c r="G813" s="1">
        <f>dane_7[[#This Row],[Nr próbki]]/($G$1+1)</f>
        <v>0.81118881118881114</v>
      </c>
      <c r="H813" s="1">
        <f>(dane_7[[#This Row],[Logarytm naturalny]]-$I$2)/$J$2</f>
        <v>0.7533238277960439</v>
      </c>
      <c r="M813" s="1">
        <f t="shared" si="12"/>
        <v>0.77437232819371615</v>
      </c>
    </row>
    <row r="814" spans="1:13" x14ac:dyDescent="0.25">
      <c r="A814" s="1">
        <v>402.7</v>
      </c>
      <c r="B814" s="1">
        <v>402.7</v>
      </c>
      <c r="C814" s="1">
        <f>LN(dane_7[[#This Row],[Dane wejściowe posortowane]])</f>
        <v>5.9981918678574084</v>
      </c>
      <c r="D814" s="1">
        <v>813</v>
      </c>
      <c r="G814" s="1">
        <f>dane_7[[#This Row],[Nr próbki]]/($G$1+1)</f>
        <v>0.81218781218781222</v>
      </c>
      <c r="H814" s="1">
        <f>(dane_7[[#This Row],[Logarytm naturalny]]-$I$2)/$J$2</f>
        <v>0.7533238277960439</v>
      </c>
      <c r="M814" s="1">
        <f t="shared" si="12"/>
        <v>0.77437232819371615</v>
      </c>
    </row>
    <row r="815" spans="1:13" x14ac:dyDescent="0.25">
      <c r="A815" s="1">
        <v>402.7</v>
      </c>
      <c r="B815" s="1">
        <v>402.7</v>
      </c>
      <c r="C815" s="1">
        <f>LN(dane_7[[#This Row],[Dane wejściowe posortowane]])</f>
        <v>5.9981918678574084</v>
      </c>
      <c r="D815" s="1">
        <v>814</v>
      </c>
      <c r="G815" s="1">
        <f>dane_7[[#This Row],[Nr próbki]]/($G$1+1)</f>
        <v>0.81318681318681318</v>
      </c>
      <c r="H815" s="1">
        <f>(dane_7[[#This Row],[Logarytm naturalny]]-$I$2)/$J$2</f>
        <v>0.7533238277960439</v>
      </c>
      <c r="M815" s="1">
        <f t="shared" si="12"/>
        <v>0.77437232819371615</v>
      </c>
    </row>
    <row r="816" spans="1:13" x14ac:dyDescent="0.25">
      <c r="A816" s="1">
        <v>402.7</v>
      </c>
      <c r="B816" s="1">
        <v>402.7</v>
      </c>
      <c r="C816" s="1">
        <f>LN(dane_7[[#This Row],[Dane wejściowe posortowane]])</f>
        <v>5.9981918678574084</v>
      </c>
      <c r="D816" s="1">
        <v>815</v>
      </c>
      <c r="G816" s="1">
        <f>dane_7[[#This Row],[Nr próbki]]/($G$1+1)</f>
        <v>0.81418581418581415</v>
      </c>
      <c r="H816" s="1">
        <f>(dane_7[[#This Row],[Logarytm naturalny]]-$I$2)/$J$2</f>
        <v>0.7533238277960439</v>
      </c>
      <c r="M816" s="1">
        <f t="shared" si="12"/>
        <v>0.77437232819371615</v>
      </c>
    </row>
    <row r="817" spans="1:13" x14ac:dyDescent="0.25">
      <c r="A817" s="1">
        <v>402.7</v>
      </c>
      <c r="B817" s="1">
        <v>402.7</v>
      </c>
      <c r="C817" s="1">
        <f>LN(dane_7[[#This Row],[Dane wejściowe posortowane]])</f>
        <v>5.9981918678574084</v>
      </c>
      <c r="D817" s="1">
        <v>816</v>
      </c>
      <c r="G817" s="1">
        <f>dane_7[[#This Row],[Nr próbki]]/($G$1+1)</f>
        <v>0.81518481518481523</v>
      </c>
      <c r="H817" s="1">
        <f>(dane_7[[#This Row],[Logarytm naturalny]]-$I$2)/$J$2</f>
        <v>0.7533238277960439</v>
      </c>
      <c r="M817" s="1">
        <f t="shared" si="12"/>
        <v>0.77437232819371615</v>
      </c>
    </row>
    <row r="818" spans="1:13" x14ac:dyDescent="0.25">
      <c r="A818" s="1">
        <v>402.7</v>
      </c>
      <c r="B818" s="1">
        <v>402.7</v>
      </c>
      <c r="C818" s="1">
        <f>LN(dane_7[[#This Row],[Dane wejściowe posortowane]])</f>
        <v>5.9981918678574084</v>
      </c>
      <c r="D818" s="1">
        <v>817</v>
      </c>
      <c r="G818" s="1">
        <f>dane_7[[#This Row],[Nr próbki]]/($G$1+1)</f>
        <v>0.81618381618381619</v>
      </c>
      <c r="H818" s="1">
        <f>(dane_7[[#This Row],[Logarytm naturalny]]-$I$2)/$J$2</f>
        <v>0.7533238277960439</v>
      </c>
      <c r="M818" s="1">
        <f t="shared" si="12"/>
        <v>0.77437232819371615</v>
      </c>
    </row>
    <row r="819" spans="1:13" x14ac:dyDescent="0.25">
      <c r="A819" s="1">
        <v>402.7</v>
      </c>
      <c r="B819" s="1">
        <v>402.7</v>
      </c>
      <c r="C819" s="1">
        <f>LN(dane_7[[#This Row],[Dane wejściowe posortowane]])</f>
        <v>5.9981918678574084</v>
      </c>
      <c r="D819" s="1">
        <v>818</v>
      </c>
      <c r="G819" s="1">
        <f>dane_7[[#This Row],[Nr próbki]]/($G$1+1)</f>
        <v>0.81718281718281716</v>
      </c>
      <c r="H819" s="1">
        <f>(dane_7[[#This Row],[Logarytm naturalny]]-$I$2)/$J$2</f>
        <v>0.7533238277960439</v>
      </c>
      <c r="M819" s="1">
        <f t="shared" si="12"/>
        <v>0.77437232819371615</v>
      </c>
    </row>
    <row r="820" spans="1:13" x14ac:dyDescent="0.25">
      <c r="A820" s="1">
        <v>402.7</v>
      </c>
      <c r="B820" s="1">
        <v>402.7</v>
      </c>
      <c r="C820" s="1">
        <f>LN(dane_7[[#This Row],[Dane wejściowe posortowane]])</f>
        <v>5.9981918678574084</v>
      </c>
      <c r="D820" s="1">
        <v>819</v>
      </c>
      <c r="G820" s="1">
        <f>dane_7[[#This Row],[Nr próbki]]/($G$1+1)</f>
        <v>0.81818181818181823</v>
      </c>
      <c r="H820" s="1">
        <f>(dane_7[[#This Row],[Logarytm naturalny]]-$I$2)/$J$2</f>
        <v>0.7533238277960439</v>
      </c>
      <c r="M820" s="1">
        <f t="shared" si="12"/>
        <v>0.77437232819371615</v>
      </c>
    </row>
    <row r="821" spans="1:13" x14ac:dyDescent="0.25">
      <c r="A821" s="1">
        <v>402.7</v>
      </c>
      <c r="B821" s="1">
        <v>402.7</v>
      </c>
      <c r="C821" s="1">
        <f>LN(dane_7[[#This Row],[Dane wejściowe posortowane]])</f>
        <v>5.9981918678574084</v>
      </c>
      <c r="D821" s="1">
        <v>820</v>
      </c>
      <c r="G821" s="1">
        <f>dane_7[[#This Row],[Nr próbki]]/($G$1+1)</f>
        <v>0.8191808191808192</v>
      </c>
      <c r="H821" s="1">
        <f>(dane_7[[#This Row],[Logarytm naturalny]]-$I$2)/$J$2</f>
        <v>0.7533238277960439</v>
      </c>
      <c r="M821" s="1">
        <f t="shared" si="12"/>
        <v>0.77437232819371615</v>
      </c>
    </row>
    <row r="822" spans="1:13" x14ac:dyDescent="0.25">
      <c r="A822" s="1">
        <v>402.7</v>
      </c>
      <c r="B822" s="1">
        <v>402.7</v>
      </c>
      <c r="C822" s="1">
        <f>LN(dane_7[[#This Row],[Dane wejściowe posortowane]])</f>
        <v>5.9981918678574084</v>
      </c>
      <c r="D822" s="1">
        <v>821</v>
      </c>
      <c r="G822" s="1">
        <f>dane_7[[#This Row],[Nr próbki]]/($G$1+1)</f>
        <v>0.82017982017982016</v>
      </c>
      <c r="H822" s="1">
        <f>(dane_7[[#This Row],[Logarytm naturalny]]-$I$2)/$J$2</f>
        <v>0.7533238277960439</v>
      </c>
      <c r="M822" s="1">
        <f t="shared" si="12"/>
        <v>0.77437232819371615</v>
      </c>
    </row>
    <row r="823" spans="1:13" x14ac:dyDescent="0.25">
      <c r="A823" s="1">
        <v>402.7</v>
      </c>
      <c r="B823" s="1">
        <v>402.7</v>
      </c>
      <c r="C823" s="1">
        <f>LN(dane_7[[#This Row],[Dane wejściowe posortowane]])</f>
        <v>5.9981918678574084</v>
      </c>
      <c r="D823" s="1">
        <v>822</v>
      </c>
      <c r="G823" s="1">
        <f>dane_7[[#This Row],[Nr próbki]]/($G$1+1)</f>
        <v>0.82117882117882113</v>
      </c>
      <c r="H823" s="1">
        <f>(dane_7[[#This Row],[Logarytm naturalny]]-$I$2)/$J$2</f>
        <v>0.7533238277960439</v>
      </c>
      <c r="M823" s="1">
        <f t="shared" si="12"/>
        <v>0.77437232819371615</v>
      </c>
    </row>
    <row r="824" spans="1:13" x14ac:dyDescent="0.25">
      <c r="A824" s="1">
        <v>402.7</v>
      </c>
      <c r="B824" s="1">
        <v>402.7</v>
      </c>
      <c r="C824" s="1">
        <f>LN(dane_7[[#This Row],[Dane wejściowe posortowane]])</f>
        <v>5.9981918678574084</v>
      </c>
      <c r="D824" s="1">
        <v>823</v>
      </c>
      <c r="G824" s="1">
        <f>dane_7[[#This Row],[Nr próbki]]/($G$1+1)</f>
        <v>0.8221778221778222</v>
      </c>
      <c r="H824" s="1">
        <f>(dane_7[[#This Row],[Logarytm naturalny]]-$I$2)/$J$2</f>
        <v>0.7533238277960439</v>
      </c>
      <c r="M824" s="1">
        <f t="shared" si="12"/>
        <v>0.77437232819371615</v>
      </c>
    </row>
    <row r="825" spans="1:13" x14ac:dyDescent="0.25">
      <c r="A825" s="1">
        <v>402.7</v>
      </c>
      <c r="B825" s="1">
        <v>402.7</v>
      </c>
      <c r="C825" s="1">
        <f>LN(dane_7[[#This Row],[Dane wejściowe posortowane]])</f>
        <v>5.9981918678574084</v>
      </c>
      <c r="D825" s="1">
        <v>824</v>
      </c>
      <c r="G825" s="1">
        <f>dane_7[[#This Row],[Nr próbki]]/($G$1+1)</f>
        <v>0.82317682317682317</v>
      </c>
      <c r="H825" s="1">
        <f>(dane_7[[#This Row],[Logarytm naturalny]]-$I$2)/$J$2</f>
        <v>0.7533238277960439</v>
      </c>
      <c r="M825" s="1">
        <f t="shared" si="12"/>
        <v>0.77437232819371615</v>
      </c>
    </row>
    <row r="826" spans="1:13" x14ac:dyDescent="0.25">
      <c r="A826" s="1">
        <v>402.7</v>
      </c>
      <c r="B826" s="1">
        <v>402.7</v>
      </c>
      <c r="C826" s="1">
        <f>LN(dane_7[[#This Row],[Dane wejściowe posortowane]])</f>
        <v>5.9981918678574084</v>
      </c>
      <c r="D826" s="1">
        <v>825</v>
      </c>
      <c r="G826" s="1">
        <f>dane_7[[#This Row],[Nr próbki]]/($G$1+1)</f>
        <v>0.82417582417582413</v>
      </c>
      <c r="H826" s="1">
        <f>(dane_7[[#This Row],[Logarytm naturalny]]-$I$2)/$J$2</f>
        <v>0.7533238277960439</v>
      </c>
      <c r="M826" s="1">
        <f t="shared" si="12"/>
        <v>0.77437232819371615</v>
      </c>
    </row>
    <row r="827" spans="1:13" x14ac:dyDescent="0.25">
      <c r="A827" s="1">
        <v>402.8</v>
      </c>
      <c r="B827" s="1">
        <v>402.8</v>
      </c>
      <c r="C827" s="1">
        <f>LN(dane_7[[#This Row],[Dane wejściowe posortowane]])</f>
        <v>5.9984401608444076</v>
      </c>
      <c r="D827" s="1">
        <v>826</v>
      </c>
      <c r="G827" s="1">
        <f>dane_7[[#This Row],[Nr próbki]]/($G$1+1)</f>
        <v>0.82517482517482521</v>
      </c>
      <c r="H827" s="1">
        <f>(dane_7[[#This Row],[Logarytm naturalny]]-$I$2)/$J$2</f>
        <v>0.78751434115990404</v>
      </c>
      <c r="M827" s="1">
        <f t="shared" si="12"/>
        <v>0.78450958170486107</v>
      </c>
    </row>
    <row r="828" spans="1:13" x14ac:dyDescent="0.25">
      <c r="A828" s="1">
        <v>402.8</v>
      </c>
      <c r="B828" s="1">
        <v>402.8</v>
      </c>
      <c r="C828" s="1">
        <f>LN(dane_7[[#This Row],[Dane wejściowe posortowane]])</f>
        <v>5.9984401608444076</v>
      </c>
      <c r="D828" s="1">
        <v>827</v>
      </c>
      <c r="G828" s="1">
        <f>dane_7[[#This Row],[Nr próbki]]/($G$1+1)</f>
        <v>0.82617382617382618</v>
      </c>
      <c r="H828" s="1">
        <f>(dane_7[[#This Row],[Logarytm naturalny]]-$I$2)/$J$2</f>
        <v>0.78751434115990404</v>
      </c>
      <c r="M828" s="1">
        <f t="shared" si="12"/>
        <v>0.78450958170486107</v>
      </c>
    </row>
    <row r="829" spans="1:13" x14ac:dyDescent="0.25">
      <c r="A829" s="1">
        <v>402.8</v>
      </c>
      <c r="B829" s="1">
        <v>402.8</v>
      </c>
      <c r="C829" s="1">
        <f>LN(dane_7[[#This Row],[Dane wejściowe posortowane]])</f>
        <v>5.9984401608444076</v>
      </c>
      <c r="D829" s="1">
        <v>828</v>
      </c>
      <c r="G829" s="1">
        <f>dane_7[[#This Row],[Nr próbki]]/($G$1+1)</f>
        <v>0.82717282717282714</v>
      </c>
      <c r="H829" s="1">
        <f>(dane_7[[#This Row],[Logarytm naturalny]]-$I$2)/$J$2</f>
        <v>0.78751434115990404</v>
      </c>
      <c r="M829" s="1">
        <f t="shared" si="12"/>
        <v>0.78450958170486107</v>
      </c>
    </row>
    <row r="830" spans="1:13" x14ac:dyDescent="0.25">
      <c r="A830" s="1">
        <v>402.8</v>
      </c>
      <c r="B830" s="1">
        <v>402.8</v>
      </c>
      <c r="C830" s="1">
        <f>LN(dane_7[[#This Row],[Dane wejściowe posortowane]])</f>
        <v>5.9984401608444076</v>
      </c>
      <c r="D830" s="1">
        <v>829</v>
      </c>
      <c r="G830" s="1">
        <f>dane_7[[#This Row],[Nr próbki]]/($G$1+1)</f>
        <v>0.82817182817182822</v>
      </c>
      <c r="H830" s="1">
        <f>(dane_7[[#This Row],[Logarytm naturalny]]-$I$2)/$J$2</f>
        <v>0.78751434115990404</v>
      </c>
      <c r="M830" s="1">
        <f t="shared" si="12"/>
        <v>0.78450958170486107</v>
      </c>
    </row>
    <row r="831" spans="1:13" x14ac:dyDescent="0.25">
      <c r="A831" s="1">
        <v>402.8</v>
      </c>
      <c r="B831" s="1">
        <v>402.8</v>
      </c>
      <c r="C831" s="1">
        <f>LN(dane_7[[#This Row],[Dane wejściowe posortowane]])</f>
        <v>5.9984401608444076</v>
      </c>
      <c r="D831" s="1">
        <v>830</v>
      </c>
      <c r="G831" s="1">
        <f>dane_7[[#This Row],[Nr próbki]]/($G$1+1)</f>
        <v>0.82917082917082918</v>
      </c>
      <c r="H831" s="1">
        <f>(dane_7[[#This Row],[Logarytm naturalny]]-$I$2)/$J$2</f>
        <v>0.78751434115990404</v>
      </c>
      <c r="M831" s="1">
        <f t="shared" si="12"/>
        <v>0.78450958170486107</v>
      </c>
    </row>
    <row r="832" spans="1:13" x14ac:dyDescent="0.25">
      <c r="A832" s="1">
        <v>402.8</v>
      </c>
      <c r="B832" s="1">
        <v>402.8</v>
      </c>
      <c r="C832" s="1">
        <f>LN(dane_7[[#This Row],[Dane wejściowe posortowane]])</f>
        <v>5.9984401608444076</v>
      </c>
      <c r="D832" s="1">
        <v>831</v>
      </c>
      <c r="G832" s="1">
        <f>dane_7[[#This Row],[Nr próbki]]/($G$1+1)</f>
        <v>0.83016983016983015</v>
      </c>
      <c r="H832" s="1">
        <f>(dane_7[[#This Row],[Logarytm naturalny]]-$I$2)/$J$2</f>
        <v>0.78751434115990404</v>
      </c>
      <c r="M832" s="1">
        <f t="shared" si="12"/>
        <v>0.78450958170486107</v>
      </c>
    </row>
    <row r="833" spans="1:13" x14ac:dyDescent="0.25">
      <c r="A833" s="1">
        <v>402.8</v>
      </c>
      <c r="B833" s="1">
        <v>402.8</v>
      </c>
      <c r="C833" s="1">
        <f>LN(dane_7[[#This Row],[Dane wejściowe posortowane]])</f>
        <v>5.9984401608444076</v>
      </c>
      <c r="D833" s="1">
        <v>832</v>
      </c>
      <c r="G833" s="1">
        <f>dane_7[[#This Row],[Nr próbki]]/($G$1+1)</f>
        <v>0.83116883116883122</v>
      </c>
      <c r="H833" s="1">
        <f>(dane_7[[#This Row],[Logarytm naturalny]]-$I$2)/$J$2</f>
        <v>0.78751434115990404</v>
      </c>
      <c r="M833" s="1">
        <f t="shared" si="12"/>
        <v>0.78450958170486107</v>
      </c>
    </row>
    <row r="834" spans="1:13" x14ac:dyDescent="0.25">
      <c r="A834" s="1">
        <v>402.8</v>
      </c>
      <c r="B834" s="1">
        <v>402.8</v>
      </c>
      <c r="C834" s="1">
        <f>LN(dane_7[[#This Row],[Dane wejściowe posortowane]])</f>
        <v>5.9984401608444076</v>
      </c>
      <c r="D834" s="1">
        <v>833</v>
      </c>
      <c r="G834" s="1">
        <f>dane_7[[#This Row],[Nr próbki]]/($G$1+1)</f>
        <v>0.83216783216783219</v>
      </c>
      <c r="H834" s="1">
        <f>(dane_7[[#This Row],[Logarytm naturalny]]-$I$2)/$J$2</f>
        <v>0.78751434115990404</v>
      </c>
      <c r="M834" s="1">
        <f t="shared" si="12"/>
        <v>0.78450958170486107</v>
      </c>
    </row>
    <row r="835" spans="1:13" x14ac:dyDescent="0.25">
      <c r="A835" s="1">
        <v>402.8</v>
      </c>
      <c r="B835" s="1">
        <v>402.8</v>
      </c>
      <c r="C835" s="1">
        <f>LN(dane_7[[#This Row],[Dane wejściowe posortowane]])</f>
        <v>5.9984401608444076</v>
      </c>
      <c r="D835" s="1">
        <v>834</v>
      </c>
      <c r="G835" s="1">
        <f>dane_7[[#This Row],[Nr próbki]]/($G$1+1)</f>
        <v>0.83316683316683315</v>
      </c>
      <c r="H835" s="1">
        <f>(dane_7[[#This Row],[Logarytm naturalny]]-$I$2)/$J$2</f>
        <v>0.78751434115990404</v>
      </c>
      <c r="M835" s="1">
        <f t="shared" ref="M835:M898" si="13">LOGNORMDIST(B835:B1834,$I$2,$J$2)</f>
        <v>0.78450958170486107</v>
      </c>
    </row>
    <row r="836" spans="1:13" x14ac:dyDescent="0.25">
      <c r="A836" s="1">
        <v>402.8</v>
      </c>
      <c r="B836" s="1">
        <v>402.8</v>
      </c>
      <c r="C836" s="1">
        <f>LN(dane_7[[#This Row],[Dane wejściowe posortowane]])</f>
        <v>5.9984401608444076</v>
      </c>
      <c r="D836" s="1">
        <v>835</v>
      </c>
      <c r="G836" s="1">
        <f>dane_7[[#This Row],[Nr próbki]]/($G$1+1)</f>
        <v>0.83416583416583412</v>
      </c>
      <c r="H836" s="1">
        <f>(dane_7[[#This Row],[Logarytm naturalny]]-$I$2)/$J$2</f>
        <v>0.78751434115990404</v>
      </c>
      <c r="M836" s="1">
        <f t="shared" si="13"/>
        <v>0.78450958170486107</v>
      </c>
    </row>
    <row r="837" spans="1:13" x14ac:dyDescent="0.25">
      <c r="A837" s="1">
        <v>402.8</v>
      </c>
      <c r="B837" s="1">
        <v>402.8</v>
      </c>
      <c r="C837" s="1">
        <f>LN(dane_7[[#This Row],[Dane wejściowe posortowane]])</f>
        <v>5.9984401608444076</v>
      </c>
      <c r="D837" s="1">
        <v>836</v>
      </c>
      <c r="G837" s="1">
        <f>dane_7[[#This Row],[Nr próbki]]/($G$1+1)</f>
        <v>0.8351648351648352</v>
      </c>
      <c r="H837" s="1">
        <f>(dane_7[[#This Row],[Logarytm naturalny]]-$I$2)/$J$2</f>
        <v>0.78751434115990404</v>
      </c>
      <c r="M837" s="1">
        <f t="shared" si="13"/>
        <v>0.78450958170486107</v>
      </c>
    </row>
    <row r="838" spans="1:13" x14ac:dyDescent="0.25">
      <c r="A838" s="1">
        <v>402.8</v>
      </c>
      <c r="B838" s="1">
        <v>402.8</v>
      </c>
      <c r="C838" s="1">
        <f>LN(dane_7[[#This Row],[Dane wejściowe posortowane]])</f>
        <v>5.9984401608444076</v>
      </c>
      <c r="D838" s="1">
        <v>837</v>
      </c>
      <c r="G838" s="1">
        <f>dane_7[[#This Row],[Nr próbki]]/($G$1+1)</f>
        <v>0.83616383616383616</v>
      </c>
      <c r="H838" s="1">
        <f>(dane_7[[#This Row],[Logarytm naturalny]]-$I$2)/$J$2</f>
        <v>0.78751434115990404</v>
      </c>
      <c r="M838" s="1">
        <f t="shared" si="13"/>
        <v>0.78450958170486107</v>
      </c>
    </row>
    <row r="839" spans="1:13" x14ac:dyDescent="0.25">
      <c r="A839" s="1">
        <v>402.8</v>
      </c>
      <c r="B839" s="1">
        <v>402.8</v>
      </c>
      <c r="C839" s="1">
        <f>LN(dane_7[[#This Row],[Dane wejściowe posortowane]])</f>
        <v>5.9984401608444076</v>
      </c>
      <c r="D839" s="1">
        <v>838</v>
      </c>
      <c r="G839" s="1">
        <f>dane_7[[#This Row],[Nr próbki]]/($G$1+1)</f>
        <v>0.83716283716283713</v>
      </c>
      <c r="H839" s="1">
        <f>(dane_7[[#This Row],[Logarytm naturalny]]-$I$2)/$J$2</f>
        <v>0.78751434115990404</v>
      </c>
      <c r="M839" s="1">
        <f t="shared" si="13"/>
        <v>0.78450958170486107</v>
      </c>
    </row>
    <row r="840" spans="1:13" x14ac:dyDescent="0.25">
      <c r="A840" s="1">
        <v>402.8</v>
      </c>
      <c r="B840" s="1">
        <v>402.8</v>
      </c>
      <c r="C840" s="1">
        <f>LN(dane_7[[#This Row],[Dane wejściowe posortowane]])</f>
        <v>5.9984401608444076</v>
      </c>
      <c r="D840" s="1">
        <v>839</v>
      </c>
      <c r="G840" s="1">
        <f>dane_7[[#This Row],[Nr próbki]]/($G$1+1)</f>
        <v>0.8381618381618382</v>
      </c>
      <c r="H840" s="1">
        <f>(dane_7[[#This Row],[Logarytm naturalny]]-$I$2)/$J$2</f>
        <v>0.78751434115990404</v>
      </c>
      <c r="M840" s="1">
        <f t="shared" si="13"/>
        <v>0.78450958170486107</v>
      </c>
    </row>
    <row r="841" spans="1:13" x14ac:dyDescent="0.25">
      <c r="A841" s="1">
        <v>402.9</v>
      </c>
      <c r="B841" s="1">
        <v>402.9</v>
      </c>
      <c r="C841" s="1">
        <f>LN(dane_7[[#This Row],[Dane wejściowe posortowane]])</f>
        <v>5.9986883921973018</v>
      </c>
      <c r="D841" s="1">
        <v>840</v>
      </c>
      <c r="G841" s="1">
        <f>dane_7[[#This Row],[Nr próbki]]/($G$1+1)</f>
        <v>0.83916083916083917</v>
      </c>
      <c r="H841" s="1">
        <f>(dane_7[[#This Row],[Logarytm naturalny]]-$I$2)/$J$2</f>
        <v>0.82169636736625806</v>
      </c>
      <c r="M841" s="1">
        <f t="shared" si="13"/>
        <v>0.79437513641741042</v>
      </c>
    </row>
    <row r="842" spans="1:13" x14ac:dyDescent="0.25">
      <c r="A842" s="1">
        <v>402.9</v>
      </c>
      <c r="B842" s="1">
        <v>402.9</v>
      </c>
      <c r="C842" s="1">
        <f>LN(dane_7[[#This Row],[Dane wejściowe posortowane]])</f>
        <v>5.9986883921973018</v>
      </c>
      <c r="D842" s="1">
        <v>841</v>
      </c>
      <c r="G842" s="1">
        <f>dane_7[[#This Row],[Nr próbki]]/($G$1+1)</f>
        <v>0.84015984015984013</v>
      </c>
      <c r="H842" s="1">
        <f>(dane_7[[#This Row],[Logarytm naturalny]]-$I$2)/$J$2</f>
        <v>0.82169636736625806</v>
      </c>
      <c r="M842" s="1">
        <f t="shared" si="13"/>
        <v>0.79437513641741042</v>
      </c>
    </row>
    <row r="843" spans="1:13" x14ac:dyDescent="0.25">
      <c r="A843" s="1">
        <v>402.9</v>
      </c>
      <c r="B843" s="1">
        <v>402.9</v>
      </c>
      <c r="C843" s="1">
        <f>LN(dane_7[[#This Row],[Dane wejściowe posortowane]])</f>
        <v>5.9986883921973018</v>
      </c>
      <c r="D843" s="1">
        <v>842</v>
      </c>
      <c r="G843" s="1">
        <f>dane_7[[#This Row],[Nr próbki]]/($G$1+1)</f>
        <v>0.84115884115884121</v>
      </c>
      <c r="H843" s="1">
        <f>(dane_7[[#This Row],[Logarytm naturalny]]-$I$2)/$J$2</f>
        <v>0.82169636736625806</v>
      </c>
      <c r="M843" s="1">
        <f t="shared" si="13"/>
        <v>0.79437513641741042</v>
      </c>
    </row>
    <row r="844" spans="1:13" x14ac:dyDescent="0.25">
      <c r="A844" s="1">
        <v>402.9</v>
      </c>
      <c r="B844" s="1">
        <v>402.9</v>
      </c>
      <c r="C844" s="1">
        <f>LN(dane_7[[#This Row],[Dane wejściowe posortowane]])</f>
        <v>5.9986883921973018</v>
      </c>
      <c r="D844" s="1">
        <v>843</v>
      </c>
      <c r="G844" s="1">
        <f>dane_7[[#This Row],[Nr próbki]]/($G$1+1)</f>
        <v>0.84215784215784217</v>
      </c>
      <c r="H844" s="1">
        <f>(dane_7[[#This Row],[Logarytm naturalny]]-$I$2)/$J$2</f>
        <v>0.82169636736625806</v>
      </c>
      <c r="M844" s="1">
        <f t="shared" si="13"/>
        <v>0.79437513641741042</v>
      </c>
    </row>
    <row r="845" spans="1:13" x14ac:dyDescent="0.25">
      <c r="A845" s="1">
        <v>402.9</v>
      </c>
      <c r="B845" s="1">
        <v>402.9</v>
      </c>
      <c r="C845" s="1">
        <f>LN(dane_7[[#This Row],[Dane wejściowe posortowane]])</f>
        <v>5.9986883921973018</v>
      </c>
      <c r="D845" s="1">
        <v>844</v>
      </c>
      <c r="G845" s="1">
        <f>dane_7[[#This Row],[Nr próbki]]/($G$1+1)</f>
        <v>0.84315684315684314</v>
      </c>
      <c r="H845" s="1">
        <f>(dane_7[[#This Row],[Logarytm naturalny]]-$I$2)/$J$2</f>
        <v>0.82169636736625806</v>
      </c>
      <c r="M845" s="1">
        <f t="shared" si="13"/>
        <v>0.79437513641741042</v>
      </c>
    </row>
    <row r="846" spans="1:13" x14ac:dyDescent="0.25">
      <c r="A846" s="1">
        <v>402.9</v>
      </c>
      <c r="B846" s="1">
        <v>402.9</v>
      </c>
      <c r="C846" s="1">
        <f>LN(dane_7[[#This Row],[Dane wejściowe posortowane]])</f>
        <v>5.9986883921973018</v>
      </c>
      <c r="D846" s="1">
        <v>845</v>
      </c>
      <c r="G846" s="1">
        <f>dane_7[[#This Row],[Nr próbki]]/($G$1+1)</f>
        <v>0.8441558441558441</v>
      </c>
      <c r="H846" s="1">
        <f>(dane_7[[#This Row],[Logarytm naturalny]]-$I$2)/$J$2</f>
        <v>0.82169636736625806</v>
      </c>
      <c r="M846" s="1">
        <f t="shared" si="13"/>
        <v>0.79437513641741042</v>
      </c>
    </row>
    <row r="847" spans="1:13" x14ac:dyDescent="0.25">
      <c r="A847" s="1">
        <v>402.9</v>
      </c>
      <c r="B847" s="1">
        <v>402.9</v>
      </c>
      <c r="C847" s="1">
        <f>LN(dane_7[[#This Row],[Dane wejściowe posortowane]])</f>
        <v>5.9986883921973018</v>
      </c>
      <c r="D847" s="1">
        <v>846</v>
      </c>
      <c r="G847" s="1">
        <f>dane_7[[#This Row],[Nr próbki]]/($G$1+1)</f>
        <v>0.84515484515484518</v>
      </c>
      <c r="H847" s="1">
        <f>(dane_7[[#This Row],[Logarytm naturalny]]-$I$2)/$J$2</f>
        <v>0.82169636736625806</v>
      </c>
      <c r="M847" s="1">
        <f t="shared" si="13"/>
        <v>0.79437513641741042</v>
      </c>
    </row>
    <row r="848" spans="1:13" x14ac:dyDescent="0.25">
      <c r="A848" s="1">
        <v>402.9</v>
      </c>
      <c r="B848" s="1">
        <v>402.9</v>
      </c>
      <c r="C848" s="1">
        <f>LN(dane_7[[#This Row],[Dane wejściowe posortowane]])</f>
        <v>5.9986883921973018</v>
      </c>
      <c r="D848" s="1">
        <v>847</v>
      </c>
      <c r="G848" s="1">
        <f>dane_7[[#This Row],[Nr próbki]]/($G$1+1)</f>
        <v>0.84615384615384615</v>
      </c>
      <c r="H848" s="1">
        <f>(dane_7[[#This Row],[Logarytm naturalny]]-$I$2)/$J$2</f>
        <v>0.82169636736625806</v>
      </c>
      <c r="M848" s="1">
        <f t="shared" si="13"/>
        <v>0.79437513641741042</v>
      </c>
    </row>
    <row r="849" spans="1:13" x14ac:dyDescent="0.25">
      <c r="A849" s="1">
        <v>402.9</v>
      </c>
      <c r="B849" s="1">
        <v>402.9</v>
      </c>
      <c r="C849" s="1">
        <f>LN(dane_7[[#This Row],[Dane wejściowe posortowane]])</f>
        <v>5.9986883921973018</v>
      </c>
      <c r="D849" s="1">
        <v>848</v>
      </c>
      <c r="G849" s="1">
        <f>dane_7[[#This Row],[Nr próbki]]/($G$1+1)</f>
        <v>0.84715284715284711</v>
      </c>
      <c r="H849" s="1">
        <f>(dane_7[[#This Row],[Logarytm naturalny]]-$I$2)/$J$2</f>
        <v>0.82169636736625806</v>
      </c>
      <c r="M849" s="1">
        <f t="shared" si="13"/>
        <v>0.79437513641741042</v>
      </c>
    </row>
    <row r="850" spans="1:13" x14ac:dyDescent="0.25">
      <c r="A850" s="1">
        <v>403</v>
      </c>
      <c r="B850" s="1">
        <v>403</v>
      </c>
      <c r="C850" s="1">
        <f>LN(dane_7[[#This Row],[Dane wejściowe posortowane]])</f>
        <v>5.9989365619466826</v>
      </c>
      <c r="D850" s="1">
        <v>849</v>
      </c>
      <c r="G850" s="1">
        <f>dane_7[[#This Row],[Nr próbki]]/($G$1+1)</f>
        <v>0.84815184815184819</v>
      </c>
      <c r="H850" s="1">
        <f>(dane_7[[#This Row],[Logarytm naturalny]]-$I$2)/$J$2</f>
        <v>0.85586991062762974</v>
      </c>
      <c r="M850" s="1">
        <f t="shared" si="13"/>
        <v>0.80396513000356618</v>
      </c>
    </row>
    <row r="851" spans="1:13" x14ac:dyDescent="0.25">
      <c r="A851" s="1">
        <v>403</v>
      </c>
      <c r="B851" s="1">
        <v>403</v>
      </c>
      <c r="C851" s="1">
        <f>LN(dane_7[[#This Row],[Dane wejściowe posortowane]])</f>
        <v>5.9989365619466826</v>
      </c>
      <c r="D851" s="1">
        <v>850</v>
      </c>
      <c r="G851" s="1">
        <f>dane_7[[#This Row],[Nr próbki]]/($G$1+1)</f>
        <v>0.84915084915084915</v>
      </c>
      <c r="H851" s="1">
        <f>(dane_7[[#This Row],[Logarytm naturalny]]-$I$2)/$J$2</f>
        <v>0.85586991062762974</v>
      </c>
      <c r="M851" s="1">
        <f t="shared" si="13"/>
        <v>0.80396513000356618</v>
      </c>
    </row>
    <row r="852" spans="1:13" x14ac:dyDescent="0.25">
      <c r="A852" s="1">
        <v>403</v>
      </c>
      <c r="B852" s="1">
        <v>403</v>
      </c>
      <c r="C852" s="1">
        <f>LN(dane_7[[#This Row],[Dane wejściowe posortowane]])</f>
        <v>5.9989365619466826</v>
      </c>
      <c r="D852" s="1">
        <v>851</v>
      </c>
      <c r="G852" s="1">
        <f>dane_7[[#This Row],[Nr próbki]]/($G$1+1)</f>
        <v>0.85014985014985012</v>
      </c>
      <c r="H852" s="1">
        <f>(dane_7[[#This Row],[Logarytm naturalny]]-$I$2)/$J$2</f>
        <v>0.85586991062762974</v>
      </c>
      <c r="M852" s="1">
        <f t="shared" si="13"/>
        <v>0.80396513000356618</v>
      </c>
    </row>
    <row r="853" spans="1:13" x14ac:dyDescent="0.25">
      <c r="A853" s="1">
        <v>403</v>
      </c>
      <c r="B853" s="1">
        <v>403</v>
      </c>
      <c r="C853" s="1">
        <f>LN(dane_7[[#This Row],[Dane wejściowe posortowane]])</f>
        <v>5.9989365619466826</v>
      </c>
      <c r="D853" s="1">
        <v>852</v>
      </c>
      <c r="G853" s="1">
        <f>dane_7[[#This Row],[Nr próbki]]/($G$1+1)</f>
        <v>0.85114885114885119</v>
      </c>
      <c r="H853" s="1">
        <f>(dane_7[[#This Row],[Logarytm naturalny]]-$I$2)/$J$2</f>
        <v>0.85586991062762974</v>
      </c>
      <c r="M853" s="1">
        <f t="shared" si="13"/>
        <v>0.80396513000356618</v>
      </c>
    </row>
    <row r="854" spans="1:13" x14ac:dyDescent="0.25">
      <c r="A854" s="1">
        <v>403</v>
      </c>
      <c r="B854" s="1">
        <v>403</v>
      </c>
      <c r="C854" s="1">
        <f>LN(dane_7[[#This Row],[Dane wejściowe posortowane]])</f>
        <v>5.9989365619466826</v>
      </c>
      <c r="D854" s="1">
        <v>853</v>
      </c>
      <c r="G854" s="1">
        <f>dane_7[[#This Row],[Nr próbki]]/($G$1+1)</f>
        <v>0.85214785214785216</v>
      </c>
      <c r="H854" s="1">
        <f>(dane_7[[#This Row],[Logarytm naturalny]]-$I$2)/$J$2</f>
        <v>0.85586991062762974</v>
      </c>
      <c r="M854" s="1">
        <f t="shared" si="13"/>
        <v>0.80396513000356618</v>
      </c>
    </row>
    <row r="855" spans="1:13" x14ac:dyDescent="0.25">
      <c r="A855" s="1">
        <v>403</v>
      </c>
      <c r="B855" s="1">
        <v>403</v>
      </c>
      <c r="C855" s="1">
        <f>LN(dane_7[[#This Row],[Dane wejściowe posortowane]])</f>
        <v>5.9989365619466826</v>
      </c>
      <c r="D855" s="1">
        <v>854</v>
      </c>
      <c r="G855" s="1">
        <f>dane_7[[#This Row],[Nr próbki]]/($G$1+1)</f>
        <v>0.85314685314685312</v>
      </c>
      <c r="H855" s="1">
        <f>(dane_7[[#This Row],[Logarytm naturalny]]-$I$2)/$J$2</f>
        <v>0.85586991062762974</v>
      </c>
      <c r="M855" s="1">
        <f t="shared" si="13"/>
        <v>0.80396513000356618</v>
      </c>
    </row>
    <row r="856" spans="1:13" x14ac:dyDescent="0.25">
      <c r="A856" s="1">
        <v>403</v>
      </c>
      <c r="B856" s="1">
        <v>403</v>
      </c>
      <c r="C856" s="1">
        <f>LN(dane_7[[#This Row],[Dane wejściowe posortowane]])</f>
        <v>5.9989365619466826</v>
      </c>
      <c r="D856" s="1">
        <v>855</v>
      </c>
      <c r="G856" s="1">
        <f>dane_7[[#This Row],[Nr próbki]]/($G$1+1)</f>
        <v>0.8541458541458542</v>
      </c>
      <c r="H856" s="1">
        <f>(dane_7[[#This Row],[Logarytm naturalny]]-$I$2)/$J$2</f>
        <v>0.85586991062762974</v>
      </c>
      <c r="M856" s="1">
        <f t="shared" si="13"/>
        <v>0.80396513000356618</v>
      </c>
    </row>
    <row r="857" spans="1:13" x14ac:dyDescent="0.25">
      <c r="A857" s="1">
        <v>403</v>
      </c>
      <c r="B857" s="1">
        <v>403</v>
      </c>
      <c r="C857" s="1">
        <f>LN(dane_7[[#This Row],[Dane wejściowe posortowane]])</f>
        <v>5.9989365619466826</v>
      </c>
      <c r="D857" s="1">
        <v>856</v>
      </c>
      <c r="G857" s="1">
        <f>dane_7[[#This Row],[Nr próbki]]/($G$1+1)</f>
        <v>0.85514485514485516</v>
      </c>
      <c r="H857" s="1">
        <f>(dane_7[[#This Row],[Logarytm naturalny]]-$I$2)/$J$2</f>
        <v>0.85586991062762974</v>
      </c>
      <c r="M857" s="1">
        <f t="shared" si="13"/>
        <v>0.80396513000356618</v>
      </c>
    </row>
    <row r="858" spans="1:13" x14ac:dyDescent="0.25">
      <c r="A858" s="1">
        <v>403</v>
      </c>
      <c r="B858" s="1">
        <v>403</v>
      </c>
      <c r="C858" s="1">
        <f>LN(dane_7[[#This Row],[Dane wejściowe posortowane]])</f>
        <v>5.9989365619466826</v>
      </c>
      <c r="D858" s="1">
        <v>857</v>
      </c>
      <c r="G858" s="1">
        <f>dane_7[[#This Row],[Nr próbki]]/($G$1+1)</f>
        <v>0.85614385614385613</v>
      </c>
      <c r="H858" s="1">
        <f>(dane_7[[#This Row],[Logarytm naturalny]]-$I$2)/$J$2</f>
        <v>0.85586991062762974</v>
      </c>
      <c r="M858" s="1">
        <f t="shared" si="13"/>
        <v>0.80396513000356618</v>
      </c>
    </row>
    <row r="859" spans="1:13" x14ac:dyDescent="0.25">
      <c r="A859" s="1">
        <v>403</v>
      </c>
      <c r="B859" s="1">
        <v>403</v>
      </c>
      <c r="C859" s="1">
        <f>LN(dane_7[[#This Row],[Dane wejściowe posortowane]])</f>
        <v>5.9989365619466826</v>
      </c>
      <c r="D859" s="1">
        <v>858</v>
      </c>
      <c r="G859" s="1">
        <f>dane_7[[#This Row],[Nr próbki]]/($G$1+1)</f>
        <v>0.8571428571428571</v>
      </c>
      <c r="H859" s="1">
        <f>(dane_7[[#This Row],[Logarytm naturalny]]-$I$2)/$J$2</f>
        <v>0.85586991062762974</v>
      </c>
      <c r="M859" s="1">
        <f t="shared" si="13"/>
        <v>0.80396513000356618</v>
      </c>
    </row>
    <row r="860" spans="1:13" x14ac:dyDescent="0.25">
      <c r="A860" s="1">
        <v>403</v>
      </c>
      <c r="B860" s="1">
        <v>403</v>
      </c>
      <c r="C860" s="1">
        <f>LN(dane_7[[#This Row],[Dane wejściowe posortowane]])</f>
        <v>5.9989365619466826</v>
      </c>
      <c r="D860" s="1">
        <v>859</v>
      </c>
      <c r="G860" s="1">
        <f>dane_7[[#This Row],[Nr próbki]]/($G$1+1)</f>
        <v>0.85814185814185817</v>
      </c>
      <c r="H860" s="1">
        <f>(dane_7[[#This Row],[Logarytm naturalny]]-$I$2)/$J$2</f>
        <v>0.85586991062762974</v>
      </c>
      <c r="M860" s="1">
        <f t="shared" si="13"/>
        <v>0.80396513000356618</v>
      </c>
    </row>
    <row r="861" spans="1:13" x14ac:dyDescent="0.25">
      <c r="A861" s="1">
        <v>403.1</v>
      </c>
      <c r="B861" s="1">
        <v>403.1</v>
      </c>
      <c r="C861" s="1">
        <f>LN(dane_7[[#This Row],[Dane wejściowe posortowane]])</f>
        <v>5.9991846701231202</v>
      </c>
      <c r="D861" s="1">
        <v>860</v>
      </c>
      <c r="G861" s="1">
        <f>dane_7[[#This Row],[Nr próbki]]/($G$1+1)</f>
        <v>0.85914085914085914</v>
      </c>
      <c r="H861" s="1">
        <f>(dane_7[[#This Row],[Logarytm naturalny]]-$I$2)/$J$2</f>
        <v>0.89003497515360752</v>
      </c>
      <c r="M861" s="1">
        <f t="shared" si="13"/>
        <v>0.81327644685504896</v>
      </c>
    </row>
    <row r="862" spans="1:13" x14ac:dyDescent="0.25">
      <c r="A862" s="1">
        <v>403.1</v>
      </c>
      <c r="B862" s="1">
        <v>403.1</v>
      </c>
      <c r="C862" s="1">
        <f>LN(dane_7[[#This Row],[Dane wejściowe posortowane]])</f>
        <v>5.9991846701231202</v>
      </c>
      <c r="D862" s="1">
        <v>861</v>
      </c>
      <c r="G862" s="1">
        <f>dane_7[[#This Row],[Nr próbki]]/($G$1+1)</f>
        <v>0.8601398601398601</v>
      </c>
      <c r="H862" s="1">
        <f>(dane_7[[#This Row],[Logarytm naturalny]]-$I$2)/$J$2</f>
        <v>0.89003497515360752</v>
      </c>
      <c r="M862" s="1">
        <f t="shared" si="13"/>
        <v>0.81327644685504896</v>
      </c>
    </row>
    <row r="863" spans="1:13" x14ac:dyDescent="0.25">
      <c r="A863" s="1">
        <v>403.1</v>
      </c>
      <c r="B863" s="1">
        <v>403.1</v>
      </c>
      <c r="C863" s="1">
        <f>LN(dane_7[[#This Row],[Dane wejściowe posortowane]])</f>
        <v>5.9991846701231202</v>
      </c>
      <c r="D863" s="1">
        <v>862</v>
      </c>
      <c r="G863" s="1">
        <f>dane_7[[#This Row],[Nr próbki]]/($G$1+1)</f>
        <v>0.86113886113886118</v>
      </c>
      <c r="H863" s="1">
        <f>(dane_7[[#This Row],[Logarytm naturalny]]-$I$2)/$J$2</f>
        <v>0.89003497515360752</v>
      </c>
      <c r="M863" s="1">
        <f t="shared" si="13"/>
        <v>0.81327644685504896</v>
      </c>
    </row>
    <row r="864" spans="1:13" x14ac:dyDescent="0.25">
      <c r="A864" s="1">
        <v>403.1</v>
      </c>
      <c r="B864" s="1">
        <v>403.1</v>
      </c>
      <c r="C864" s="1">
        <f>LN(dane_7[[#This Row],[Dane wejściowe posortowane]])</f>
        <v>5.9991846701231202</v>
      </c>
      <c r="D864" s="1">
        <v>863</v>
      </c>
      <c r="G864" s="1">
        <f>dane_7[[#This Row],[Nr próbki]]/($G$1+1)</f>
        <v>0.86213786213786214</v>
      </c>
      <c r="H864" s="1">
        <f>(dane_7[[#This Row],[Logarytm naturalny]]-$I$2)/$J$2</f>
        <v>0.89003497515360752</v>
      </c>
      <c r="M864" s="1">
        <f t="shared" si="13"/>
        <v>0.81327644685504896</v>
      </c>
    </row>
    <row r="865" spans="1:13" x14ac:dyDescent="0.25">
      <c r="A865" s="1">
        <v>403.1</v>
      </c>
      <c r="B865" s="1">
        <v>403.1</v>
      </c>
      <c r="C865" s="1">
        <f>LN(dane_7[[#This Row],[Dane wejściowe posortowane]])</f>
        <v>5.9991846701231202</v>
      </c>
      <c r="D865" s="1">
        <v>864</v>
      </c>
      <c r="G865" s="1">
        <f>dane_7[[#This Row],[Nr próbki]]/($G$1+1)</f>
        <v>0.86313686313686311</v>
      </c>
      <c r="H865" s="1">
        <f>(dane_7[[#This Row],[Logarytm naturalny]]-$I$2)/$J$2</f>
        <v>0.89003497515360752</v>
      </c>
      <c r="M865" s="1">
        <f t="shared" si="13"/>
        <v>0.81327644685504896</v>
      </c>
    </row>
    <row r="866" spans="1:13" x14ac:dyDescent="0.25">
      <c r="A866" s="1">
        <v>403.1</v>
      </c>
      <c r="B866" s="1">
        <v>403.1</v>
      </c>
      <c r="C866" s="1">
        <f>LN(dane_7[[#This Row],[Dane wejściowe posortowane]])</f>
        <v>5.9991846701231202</v>
      </c>
      <c r="D866" s="1">
        <v>865</v>
      </c>
      <c r="G866" s="1">
        <f>dane_7[[#This Row],[Nr próbki]]/($G$1+1)</f>
        <v>0.86413586413586418</v>
      </c>
      <c r="H866" s="1">
        <f>(dane_7[[#This Row],[Logarytm naturalny]]-$I$2)/$J$2</f>
        <v>0.89003497515360752</v>
      </c>
      <c r="M866" s="1">
        <f t="shared" si="13"/>
        <v>0.81327644685504896</v>
      </c>
    </row>
    <row r="867" spans="1:13" x14ac:dyDescent="0.25">
      <c r="A867" s="1">
        <v>403.1</v>
      </c>
      <c r="B867" s="1">
        <v>403.1</v>
      </c>
      <c r="C867" s="1">
        <f>LN(dane_7[[#This Row],[Dane wejściowe posortowane]])</f>
        <v>5.9991846701231202</v>
      </c>
      <c r="D867" s="1">
        <v>866</v>
      </c>
      <c r="G867" s="1">
        <f>dane_7[[#This Row],[Nr próbki]]/($G$1+1)</f>
        <v>0.86513486513486515</v>
      </c>
      <c r="H867" s="1">
        <f>(dane_7[[#This Row],[Logarytm naturalny]]-$I$2)/$J$2</f>
        <v>0.89003497515360752</v>
      </c>
      <c r="M867" s="1">
        <f t="shared" si="13"/>
        <v>0.81327644685504896</v>
      </c>
    </row>
    <row r="868" spans="1:13" x14ac:dyDescent="0.25">
      <c r="A868" s="1">
        <v>403.1</v>
      </c>
      <c r="B868" s="1">
        <v>403.1</v>
      </c>
      <c r="C868" s="1">
        <f>LN(dane_7[[#This Row],[Dane wejściowe posortowane]])</f>
        <v>5.9991846701231202</v>
      </c>
      <c r="D868" s="1">
        <v>867</v>
      </c>
      <c r="G868" s="1">
        <f>dane_7[[#This Row],[Nr próbki]]/($G$1+1)</f>
        <v>0.86613386613386611</v>
      </c>
      <c r="H868" s="1">
        <f>(dane_7[[#This Row],[Logarytm naturalny]]-$I$2)/$J$2</f>
        <v>0.89003497515360752</v>
      </c>
      <c r="M868" s="1">
        <f t="shared" si="13"/>
        <v>0.81327644685504896</v>
      </c>
    </row>
    <row r="869" spans="1:13" x14ac:dyDescent="0.25">
      <c r="A869" s="1">
        <v>403.1</v>
      </c>
      <c r="B869" s="1">
        <v>403.1</v>
      </c>
      <c r="C869" s="1">
        <f>LN(dane_7[[#This Row],[Dane wejściowe posortowane]])</f>
        <v>5.9991846701231202</v>
      </c>
      <c r="D869" s="1">
        <v>868</v>
      </c>
      <c r="G869" s="1">
        <f>dane_7[[#This Row],[Nr próbki]]/($G$1+1)</f>
        <v>0.86713286713286708</v>
      </c>
      <c r="H869" s="1">
        <f>(dane_7[[#This Row],[Logarytm naturalny]]-$I$2)/$J$2</f>
        <v>0.89003497515360752</v>
      </c>
      <c r="M869" s="1">
        <f t="shared" si="13"/>
        <v>0.81327644685504896</v>
      </c>
    </row>
    <row r="870" spans="1:13" x14ac:dyDescent="0.25">
      <c r="A870" s="1">
        <v>403.2</v>
      </c>
      <c r="B870" s="1">
        <v>403.2</v>
      </c>
      <c r="C870" s="1">
        <f>LN(dane_7[[#This Row],[Dane wejściowe posortowane]])</f>
        <v>5.9994327167571591</v>
      </c>
      <c r="D870" s="1">
        <v>869</v>
      </c>
      <c r="G870" s="1">
        <f>dane_7[[#This Row],[Nr próbki]]/($G$1+1)</f>
        <v>0.86813186813186816</v>
      </c>
      <c r="H870" s="1">
        <f>(dane_7[[#This Row],[Logarytm naturalny]]-$I$2)/$J$2</f>
        <v>0.92419156515023282</v>
      </c>
      <c r="M870" s="1">
        <f t="shared" si="13"/>
        <v>0.82230670678004081</v>
      </c>
    </row>
    <row r="871" spans="1:13" x14ac:dyDescent="0.25">
      <c r="A871" s="1">
        <v>403.2</v>
      </c>
      <c r="B871" s="1">
        <v>403.2</v>
      </c>
      <c r="C871" s="1">
        <f>LN(dane_7[[#This Row],[Dane wejściowe posortowane]])</f>
        <v>5.9994327167571591</v>
      </c>
      <c r="D871" s="1">
        <v>870</v>
      </c>
      <c r="G871" s="1">
        <f>dane_7[[#This Row],[Nr próbki]]/($G$1+1)</f>
        <v>0.86913086913086912</v>
      </c>
      <c r="H871" s="1">
        <f>(dane_7[[#This Row],[Logarytm naturalny]]-$I$2)/$J$2</f>
        <v>0.92419156515023282</v>
      </c>
      <c r="M871" s="1">
        <f t="shared" si="13"/>
        <v>0.82230670678004081</v>
      </c>
    </row>
    <row r="872" spans="1:13" x14ac:dyDescent="0.25">
      <c r="A872" s="1">
        <v>403.2</v>
      </c>
      <c r="B872" s="1">
        <v>403.2</v>
      </c>
      <c r="C872" s="1">
        <f>LN(dane_7[[#This Row],[Dane wejściowe posortowane]])</f>
        <v>5.9994327167571591</v>
      </c>
      <c r="D872" s="1">
        <v>871</v>
      </c>
      <c r="G872" s="1">
        <f>dane_7[[#This Row],[Nr próbki]]/($G$1+1)</f>
        <v>0.87012987012987009</v>
      </c>
      <c r="H872" s="1">
        <f>(dane_7[[#This Row],[Logarytm naturalny]]-$I$2)/$J$2</f>
        <v>0.92419156515023282</v>
      </c>
      <c r="M872" s="1">
        <f t="shared" si="13"/>
        <v>0.82230670678004081</v>
      </c>
    </row>
    <row r="873" spans="1:13" x14ac:dyDescent="0.25">
      <c r="A873" s="1">
        <v>403.2</v>
      </c>
      <c r="B873" s="1">
        <v>403.2</v>
      </c>
      <c r="C873" s="1">
        <f>LN(dane_7[[#This Row],[Dane wejściowe posortowane]])</f>
        <v>5.9994327167571591</v>
      </c>
      <c r="D873" s="1">
        <v>872</v>
      </c>
      <c r="G873" s="1">
        <f>dane_7[[#This Row],[Nr próbki]]/($G$1+1)</f>
        <v>0.87112887112887116</v>
      </c>
      <c r="H873" s="1">
        <f>(dane_7[[#This Row],[Logarytm naturalny]]-$I$2)/$J$2</f>
        <v>0.92419156515023282</v>
      </c>
      <c r="M873" s="1">
        <f t="shared" si="13"/>
        <v>0.82230670678004081</v>
      </c>
    </row>
    <row r="874" spans="1:13" x14ac:dyDescent="0.25">
      <c r="A874" s="1">
        <v>403.2</v>
      </c>
      <c r="B874" s="1">
        <v>403.2</v>
      </c>
      <c r="C874" s="1">
        <f>LN(dane_7[[#This Row],[Dane wejściowe posortowane]])</f>
        <v>5.9994327167571591</v>
      </c>
      <c r="D874" s="1">
        <v>873</v>
      </c>
      <c r="G874" s="1">
        <f>dane_7[[#This Row],[Nr próbki]]/($G$1+1)</f>
        <v>0.87212787212787213</v>
      </c>
      <c r="H874" s="1">
        <f>(dane_7[[#This Row],[Logarytm naturalny]]-$I$2)/$J$2</f>
        <v>0.92419156515023282</v>
      </c>
      <c r="M874" s="1">
        <f t="shared" si="13"/>
        <v>0.82230670678004081</v>
      </c>
    </row>
    <row r="875" spans="1:13" x14ac:dyDescent="0.25">
      <c r="A875" s="1">
        <v>403.2</v>
      </c>
      <c r="B875" s="1">
        <v>403.2</v>
      </c>
      <c r="C875" s="1">
        <f>LN(dane_7[[#This Row],[Dane wejściowe posortowane]])</f>
        <v>5.9994327167571591</v>
      </c>
      <c r="D875" s="1">
        <v>874</v>
      </c>
      <c r="G875" s="1">
        <f>dane_7[[#This Row],[Nr próbki]]/($G$1+1)</f>
        <v>0.87312687312687309</v>
      </c>
      <c r="H875" s="1">
        <f>(dane_7[[#This Row],[Logarytm naturalny]]-$I$2)/$J$2</f>
        <v>0.92419156515023282</v>
      </c>
      <c r="M875" s="1">
        <f t="shared" si="13"/>
        <v>0.82230670678004081</v>
      </c>
    </row>
    <row r="876" spans="1:13" x14ac:dyDescent="0.25">
      <c r="A876" s="1">
        <v>403.2</v>
      </c>
      <c r="B876" s="1">
        <v>403.2</v>
      </c>
      <c r="C876" s="1">
        <f>LN(dane_7[[#This Row],[Dane wejściowe posortowane]])</f>
        <v>5.9994327167571591</v>
      </c>
      <c r="D876" s="1">
        <v>875</v>
      </c>
      <c r="G876" s="1">
        <f>dane_7[[#This Row],[Nr próbki]]/($G$1+1)</f>
        <v>0.87412587412587417</v>
      </c>
      <c r="H876" s="1">
        <f>(dane_7[[#This Row],[Logarytm naturalny]]-$I$2)/$J$2</f>
        <v>0.92419156515023282</v>
      </c>
      <c r="M876" s="1">
        <f t="shared" si="13"/>
        <v>0.82230670678004081</v>
      </c>
    </row>
    <row r="877" spans="1:13" x14ac:dyDescent="0.25">
      <c r="A877" s="1">
        <v>403.2</v>
      </c>
      <c r="B877" s="1">
        <v>403.2</v>
      </c>
      <c r="C877" s="1">
        <f>LN(dane_7[[#This Row],[Dane wejściowe posortowane]])</f>
        <v>5.9994327167571591</v>
      </c>
      <c r="D877" s="1">
        <v>876</v>
      </c>
      <c r="G877" s="1">
        <f>dane_7[[#This Row],[Nr próbki]]/($G$1+1)</f>
        <v>0.87512487512487513</v>
      </c>
      <c r="H877" s="1">
        <f>(dane_7[[#This Row],[Logarytm naturalny]]-$I$2)/$J$2</f>
        <v>0.92419156515023282</v>
      </c>
      <c r="M877" s="1">
        <f t="shared" si="13"/>
        <v>0.82230670678004081</v>
      </c>
    </row>
    <row r="878" spans="1:13" x14ac:dyDescent="0.25">
      <c r="A878" s="1">
        <v>403.2</v>
      </c>
      <c r="B878" s="1">
        <v>403.2</v>
      </c>
      <c r="C878" s="1">
        <f>LN(dane_7[[#This Row],[Dane wejściowe posortowane]])</f>
        <v>5.9994327167571591</v>
      </c>
      <c r="D878" s="1">
        <v>877</v>
      </c>
      <c r="G878" s="1">
        <f>dane_7[[#This Row],[Nr próbki]]/($G$1+1)</f>
        <v>0.8761238761238761</v>
      </c>
      <c r="H878" s="1">
        <f>(dane_7[[#This Row],[Logarytm naturalny]]-$I$2)/$J$2</f>
        <v>0.92419156515023282</v>
      </c>
      <c r="M878" s="1">
        <f t="shared" si="13"/>
        <v>0.82230670678004081</v>
      </c>
    </row>
    <row r="879" spans="1:13" x14ac:dyDescent="0.25">
      <c r="A879" s="1">
        <v>403.2</v>
      </c>
      <c r="B879" s="1">
        <v>403.2</v>
      </c>
      <c r="C879" s="1">
        <f>LN(dane_7[[#This Row],[Dane wejściowe posortowane]])</f>
        <v>5.9994327167571591</v>
      </c>
      <c r="D879" s="1">
        <v>878</v>
      </c>
      <c r="G879" s="1">
        <f>dane_7[[#This Row],[Nr próbki]]/($G$1+1)</f>
        <v>0.87712287712287718</v>
      </c>
      <c r="H879" s="1">
        <f>(dane_7[[#This Row],[Logarytm naturalny]]-$I$2)/$J$2</f>
        <v>0.92419156515023282</v>
      </c>
      <c r="M879" s="1">
        <f t="shared" si="13"/>
        <v>0.82230670678004081</v>
      </c>
    </row>
    <row r="880" spans="1:13" x14ac:dyDescent="0.25">
      <c r="A880" s="1">
        <v>403.3</v>
      </c>
      <c r="B880" s="1">
        <v>403.3</v>
      </c>
      <c r="C880" s="1">
        <f>LN(dane_7[[#This Row],[Dane wejściowe posortowane]])</f>
        <v>5.9996807018793223</v>
      </c>
      <c r="D880" s="1">
        <v>879</v>
      </c>
      <c r="G880" s="1">
        <f>dane_7[[#This Row],[Nr próbki]]/($G$1+1)</f>
        <v>0.87812187812187814</v>
      </c>
      <c r="H880" s="1">
        <f>(dane_7[[#This Row],[Logarytm naturalny]]-$I$2)/$J$2</f>
        <v>0.95833968482061216</v>
      </c>
      <c r="M880" s="1">
        <f t="shared" si="13"/>
        <v>0.83105425065568295</v>
      </c>
    </row>
    <row r="881" spans="1:13" x14ac:dyDescent="0.25">
      <c r="A881" s="1">
        <v>403.3</v>
      </c>
      <c r="B881" s="1">
        <v>403.3</v>
      </c>
      <c r="C881" s="1">
        <f>LN(dane_7[[#This Row],[Dane wejściowe posortowane]])</f>
        <v>5.9996807018793223</v>
      </c>
      <c r="D881" s="1">
        <v>880</v>
      </c>
      <c r="G881" s="1">
        <f>dane_7[[#This Row],[Nr próbki]]/($G$1+1)</f>
        <v>0.87912087912087911</v>
      </c>
      <c r="H881" s="1">
        <f>(dane_7[[#This Row],[Logarytm naturalny]]-$I$2)/$J$2</f>
        <v>0.95833968482061216</v>
      </c>
      <c r="M881" s="1">
        <f t="shared" si="13"/>
        <v>0.83105425065568295</v>
      </c>
    </row>
    <row r="882" spans="1:13" x14ac:dyDescent="0.25">
      <c r="A882" s="1">
        <v>403.3</v>
      </c>
      <c r="B882" s="1">
        <v>403.3</v>
      </c>
      <c r="C882" s="1">
        <f>LN(dane_7[[#This Row],[Dane wejściowe posortowane]])</f>
        <v>5.9996807018793223</v>
      </c>
      <c r="D882" s="1">
        <v>881</v>
      </c>
      <c r="G882" s="1">
        <f>dane_7[[#This Row],[Nr próbki]]/($G$1+1)</f>
        <v>0.88011988011988007</v>
      </c>
      <c r="H882" s="1">
        <f>(dane_7[[#This Row],[Logarytm naturalny]]-$I$2)/$J$2</f>
        <v>0.95833968482061216</v>
      </c>
      <c r="M882" s="1">
        <f t="shared" si="13"/>
        <v>0.83105425065568295</v>
      </c>
    </row>
    <row r="883" spans="1:13" x14ac:dyDescent="0.25">
      <c r="A883" s="1">
        <v>403.3</v>
      </c>
      <c r="B883" s="1">
        <v>403.3</v>
      </c>
      <c r="C883" s="1">
        <f>LN(dane_7[[#This Row],[Dane wejściowe posortowane]])</f>
        <v>5.9996807018793223</v>
      </c>
      <c r="D883" s="1">
        <v>882</v>
      </c>
      <c r="G883" s="1">
        <f>dane_7[[#This Row],[Nr próbki]]/($G$1+1)</f>
        <v>0.88111888111888115</v>
      </c>
      <c r="H883" s="1">
        <f>(dane_7[[#This Row],[Logarytm naturalny]]-$I$2)/$J$2</f>
        <v>0.95833968482061216</v>
      </c>
      <c r="M883" s="1">
        <f t="shared" si="13"/>
        <v>0.83105425065568295</v>
      </c>
    </row>
    <row r="884" spans="1:13" x14ac:dyDescent="0.25">
      <c r="A884" s="1">
        <v>403.3</v>
      </c>
      <c r="B884" s="1">
        <v>403.3</v>
      </c>
      <c r="C884" s="1">
        <f>LN(dane_7[[#This Row],[Dane wejściowe posortowane]])</f>
        <v>5.9996807018793223</v>
      </c>
      <c r="D884" s="1">
        <v>883</v>
      </c>
      <c r="G884" s="1">
        <f>dane_7[[#This Row],[Nr próbki]]/($G$1+1)</f>
        <v>0.88211788211788211</v>
      </c>
      <c r="H884" s="1">
        <f>(dane_7[[#This Row],[Logarytm naturalny]]-$I$2)/$J$2</f>
        <v>0.95833968482061216</v>
      </c>
      <c r="M884" s="1">
        <f t="shared" si="13"/>
        <v>0.83105425065568295</v>
      </c>
    </row>
    <row r="885" spans="1:13" x14ac:dyDescent="0.25">
      <c r="A885" s="1">
        <v>403.3</v>
      </c>
      <c r="B885" s="1">
        <v>403.3</v>
      </c>
      <c r="C885" s="1">
        <f>LN(dane_7[[#This Row],[Dane wejściowe posortowane]])</f>
        <v>5.9996807018793223</v>
      </c>
      <c r="D885" s="1">
        <v>884</v>
      </c>
      <c r="G885" s="1">
        <f>dane_7[[#This Row],[Nr próbki]]/($G$1+1)</f>
        <v>0.88311688311688308</v>
      </c>
      <c r="H885" s="1">
        <f>(dane_7[[#This Row],[Logarytm naturalny]]-$I$2)/$J$2</f>
        <v>0.95833968482061216</v>
      </c>
      <c r="M885" s="1">
        <f t="shared" si="13"/>
        <v>0.83105425065568295</v>
      </c>
    </row>
    <row r="886" spans="1:13" x14ac:dyDescent="0.25">
      <c r="A886" s="1">
        <v>403.3</v>
      </c>
      <c r="B886" s="1">
        <v>403.3</v>
      </c>
      <c r="C886" s="1">
        <f>LN(dane_7[[#This Row],[Dane wejściowe posortowane]])</f>
        <v>5.9996807018793223</v>
      </c>
      <c r="D886" s="1">
        <v>885</v>
      </c>
      <c r="G886" s="1">
        <f>dane_7[[#This Row],[Nr próbki]]/($G$1+1)</f>
        <v>0.88411588411588415</v>
      </c>
      <c r="H886" s="1">
        <f>(dane_7[[#This Row],[Logarytm naturalny]]-$I$2)/$J$2</f>
        <v>0.95833968482061216</v>
      </c>
      <c r="M886" s="1">
        <f t="shared" si="13"/>
        <v>0.83105425065568295</v>
      </c>
    </row>
    <row r="887" spans="1:13" x14ac:dyDescent="0.25">
      <c r="A887" s="1">
        <v>403.3</v>
      </c>
      <c r="B887" s="1">
        <v>403.3</v>
      </c>
      <c r="C887" s="1">
        <f>LN(dane_7[[#This Row],[Dane wejściowe posortowane]])</f>
        <v>5.9996807018793223</v>
      </c>
      <c r="D887" s="1">
        <v>886</v>
      </c>
      <c r="G887" s="1">
        <f>dane_7[[#This Row],[Nr próbki]]/($G$1+1)</f>
        <v>0.88511488511488512</v>
      </c>
      <c r="H887" s="1">
        <f>(dane_7[[#This Row],[Logarytm naturalny]]-$I$2)/$J$2</f>
        <v>0.95833968482061216</v>
      </c>
      <c r="M887" s="1">
        <f t="shared" si="13"/>
        <v>0.83105425065568295</v>
      </c>
    </row>
    <row r="888" spans="1:13" x14ac:dyDescent="0.25">
      <c r="A888" s="1">
        <v>403.3</v>
      </c>
      <c r="B888" s="1">
        <v>403.3</v>
      </c>
      <c r="C888" s="1">
        <f>LN(dane_7[[#This Row],[Dane wejściowe posortowane]])</f>
        <v>5.9996807018793223</v>
      </c>
      <c r="D888" s="1">
        <v>887</v>
      </c>
      <c r="G888" s="1">
        <f>dane_7[[#This Row],[Nr próbki]]/($G$1+1)</f>
        <v>0.88611388611388608</v>
      </c>
      <c r="H888" s="1">
        <f>(dane_7[[#This Row],[Logarytm naturalny]]-$I$2)/$J$2</f>
        <v>0.95833968482061216</v>
      </c>
      <c r="M888" s="1">
        <f t="shared" si="13"/>
        <v>0.83105425065568295</v>
      </c>
    </row>
    <row r="889" spans="1:13" x14ac:dyDescent="0.25">
      <c r="A889" s="1">
        <v>403.3</v>
      </c>
      <c r="B889" s="1">
        <v>403.3</v>
      </c>
      <c r="C889" s="1">
        <f>LN(dane_7[[#This Row],[Dane wejściowe posortowane]])</f>
        <v>5.9996807018793223</v>
      </c>
      <c r="D889" s="1">
        <v>888</v>
      </c>
      <c r="G889" s="1">
        <f>dane_7[[#This Row],[Nr próbki]]/($G$1+1)</f>
        <v>0.88711288711288716</v>
      </c>
      <c r="H889" s="1">
        <f>(dane_7[[#This Row],[Logarytm naturalny]]-$I$2)/$J$2</f>
        <v>0.95833968482061216</v>
      </c>
      <c r="M889" s="1">
        <f t="shared" si="13"/>
        <v>0.83105425065568295</v>
      </c>
    </row>
    <row r="890" spans="1:13" x14ac:dyDescent="0.25">
      <c r="A890" s="1">
        <v>403.3</v>
      </c>
      <c r="B890" s="1">
        <v>403.3</v>
      </c>
      <c r="C890" s="1">
        <f>LN(dane_7[[#This Row],[Dane wejściowe posortowane]])</f>
        <v>5.9996807018793223</v>
      </c>
      <c r="D890" s="1">
        <v>889</v>
      </c>
      <c r="G890" s="1">
        <f>dane_7[[#This Row],[Nr próbki]]/($G$1+1)</f>
        <v>0.88811188811188813</v>
      </c>
      <c r="H890" s="1">
        <f>(dane_7[[#This Row],[Logarytm naturalny]]-$I$2)/$J$2</f>
        <v>0.95833968482061216</v>
      </c>
      <c r="M890" s="1">
        <f t="shared" si="13"/>
        <v>0.83105425065568295</v>
      </c>
    </row>
    <row r="891" spans="1:13" x14ac:dyDescent="0.25">
      <c r="A891" s="1">
        <v>403.3</v>
      </c>
      <c r="B891" s="1">
        <v>403.3</v>
      </c>
      <c r="C891" s="1">
        <f>LN(dane_7[[#This Row],[Dane wejściowe posortowane]])</f>
        <v>5.9996807018793223</v>
      </c>
      <c r="D891" s="1">
        <v>890</v>
      </c>
      <c r="G891" s="1">
        <f>dane_7[[#This Row],[Nr próbki]]/($G$1+1)</f>
        <v>0.88911088911088909</v>
      </c>
      <c r="H891" s="1">
        <f>(dane_7[[#This Row],[Logarytm naturalny]]-$I$2)/$J$2</f>
        <v>0.95833968482061216</v>
      </c>
      <c r="M891" s="1">
        <f t="shared" si="13"/>
        <v>0.83105425065568295</v>
      </c>
    </row>
    <row r="892" spans="1:13" x14ac:dyDescent="0.25">
      <c r="A892" s="1">
        <v>403.4</v>
      </c>
      <c r="B892" s="1">
        <v>403.4</v>
      </c>
      <c r="C892" s="1">
        <f>LN(dane_7[[#This Row],[Dane wejściowe posortowane]])</f>
        <v>5.999928625520111</v>
      </c>
      <c r="D892" s="1">
        <v>891</v>
      </c>
      <c r="G892" s="1">
        <f>dane_7[[#This Row],[Nr próbki]]/($G$1+1)</f>
        <v>0.89010989010989006</v>
      </c>
      <c r="H892" s="1">
        <f>(dane_7[[#This Row],[Logarytm naturalny]]-$I$2)/$J$2</f>
        <v>0.99247933836479396</v>
      </c>
      <c r="M892" s="1">
        <f t="shared" si="13"/>
        <v>0.83951812321380492</v>
      </c>
    </row>
    <row r="893" spans="1:13" x14ac:dyDescent="0.25">
      <c r="A893" s="1">
        <v>403.4</v>
      </c>
      <c r="B893" s="1">
        <v>403.4</v>
      </c>
      <c r="C893" s="1">
        <f>LN(dane_7[[#This Row],[Dane wejściowe posortowane]])</f>
        <v>5.999928625520111</v>
      </c>
      <c r="D893" s="1">
        <v>892</v>
      </c>
      <c r="G893" s="1">
        <f>dane_7[[#This Row],[Nr próbki]]/($G$1+1)</f>
        <v>0.89110889110889113</v>
      </c>
      <c r="H893" s="1">
        <f>(dane_7[[#This Row],[Logarytm naturalny]]-$I$2)/$J$2</f>
        <v>0.99247933836479396</v>
      </c>
      <c r="M893" s="1">
        <f t="shared" si="13"/>
        <v>0.83951812321380492</v>
      </c>
    </row>
    <row r="894" spans="1:13" x14ac:dyDescent="0.25">
      <c r="A894" s="1">
        <v>403.4</v>
      </c>
      <c r="B894" s="1">
        <v>403.4</v>
      </c>
      <c r="C894" s="1">
        <f>LN(dane_7[[#This Row],[Dane wejściowe posortowane]])</f>
        <v>5.999928625520111</v>
      </c>
      <c r="D894" s="1">
        <v>893</v>
      </c>
      <c r="G894" s="1">
        <f>dane_7[[#This Row],[Nr próbki]]/($G$1+1)</f>
        <v>0.8921078921078921</v>
      </c>
      <c r="H894" s="1">
        <f>(dane_7[[#This Row],[Logarytm naturalny]]-$I$2)/$J$2</f>
        <v>0.99247933836479396</v>
      </c>
      <c r="M894" s="1">
        <f t="shared" si="13"/>
        <v>0.83951812321380492</v>
      </c>
    </row>
    <row r="895" spans="1:13" x14ac:dyDescent="0.25">
      <c r="A895" s="1">
        <v>403.4</v>
      </c>
      <c r="B895" s="1">
        <v>403.4</v>
      </c>
      <c r="C895" s="1">
        <f>LN(dane_7[[#This Row],[Dane wejściowe posortowane]])</f>
        <v>5.999928625520111</v>
      </c>
      <c r="D895" s="1">
        <v>894</v>
      </c>
      <c r="G895" s="1">
        <f>dane_7[[#This Row],[Nr próbki]]/($G$1+1)</f>
        <v>0.89310689310689306</v>
      </c>
      <c r="H895" s="1">
        <f>(dane_7[[#This Row],[Logarytm naturalny]]-$I$2)/$J$2</f>
        <v>0.99247933836479396</v>
      </c>
      <c r="M895" s="1">
        <f t="shared" si="13"/>
        <v>0.83951812321380492</v>
      </c>
    </row>
    <row r="896" spans="1:13" x14ac:dyDescent="0.25">
      <c r="A896" s="1">
        <v>403.4</v>
      </c>
      <c r="B896" s="1">
        <v>403.4</v>
      </c>
      <c r="C896" s="1">
        <f>LN(dane_7[[#This Row],[Dane wejściowe posortowane]])</f>
        <v>5.999928625520111</v>
      </c>
      <c r="D896" s="1">
        <v>895</v>
      </c>
      <c r="G896" s="1">
        <f>dane_7[[#This Row],[Nr próbki]]/($G$1+1)</f>
        <v>0.89410589410589414</v>
      </c>
      <c r="H896" s="1">
        <f>(dane_7[[#This Row],[Logarytm naturalny]]-$I$2)/$J$2</f>
        <v>0.99247933836479396</v>
      </c>
      <c r="M896" s="1">
        <f t="shared" si="13"/>
        <v>0.83951812321380492</v>
      </c>
    </row>
    <row r="897" spans="1:13" x14ac:dyDescent="0.25">
      <c r="A897" s="1">
        <v>403.4</v>
      </c>
      <c r="B897" s="1">
        <v>403.4</v>
      </c>
      <c r="C897" s="1">
        <f>LN(dane_7[[#This Row],[Dane wejściowe posortowane]])</f>
        <v>5.999928625520111</v>
      </c>
      <c r="D897" s="1">
        <v>896</v>
      </c>
      <c r="G897" s="1">
        <f>dane_7[[#This Row],[Nr próbki]]/($G$1+1)</f>
        <v>0.8951048951048951</v>
      </c>
      <c r="H897" s="1">
        <f>(dane_7[[#This Row],[Logarytm naturalny]]-$I$2)/$J$2</f>
        <v>0.99247933836479396</v>
      </c>
      <c r="M897" s="1">
        <f t="shared" si="13"/>
        <v>0.83951812321380492</v>
      </c>
    </row>
    <row r="898" spans="1:13" x14ac:dyDescent="0.25">
      <c r="A898" s="1">
        <v>403.4</v>
      </c>
      <c r="B898" s="1">
        <v>403.4</v>
      </c>
      <c r="C898" s="1">
        <f>LN(dane_7[[#This Row],[Dane wejściowe posortowane]])</f>
        <v>5.999928625520111</v>
      </c>
      <c r="D898" s="1">
        <v>897</v>
      </c>
      <c r="G898" s="1">
        <f>dane_7[[#This Row],[Nr próbki]]/($G$1+1)</f>
        <v>0.89610389610389607</v>
      </c>
      <c r="H898" s="1">
        <f>(dane_7[[#This Row],[Logarytm naturalny]]-$I$2)/$J$2</f>
        <v>0.99247933836479396</v>
      </c>
      <c r="M898" s="1">
        <f t="shared" si="13"/>
        <v>0.83951812321380492</v>
      </c>
    </row>
    <row r="899" spans="1:13" x14ac:dyDescent="0.25">
      <c r="A899" s="1">
        <v>403.4</v>
      </c>
      <c r="B899" s="1">
        <v>403.4</v>
      </c>
      <c r="C899" s="1">
        <f>LN(dane_7[[#This Row],[Dane wejściowe posortowane]])</f>
        <v>5.999928625520111</v>
      </c>
      <c r="D899" s="1">
        <v>898</v>
      </c>
      <c r="G899" s="1">
        <f>dane_7[[#This Row],[Nr próbki]]/($G$1+1)</f>
        <v>0.89710289710289715</v>
      </c>
      <c r="H899" s="1">
        <f>(dane_7[[#This Row],[Logarytm naturalny]]-$I$2)/$J$2</f>
        <v>0.99247933836479396</v>
      </c>
      <c r="M899" s="1">
        <f t="shared" ref="M899:M962" si="14">LOGNORMDIST(B899:B1898,$I$2,$J$2)</f>
        <v>0.83951812321380492</v>
      </c>
    </row>
    <row r="900" spans="1:13" x14ac:dyDescent="0.25">
      <c r="A900" s="1">
        <v>403.5</v>
      </c>
      <c r="B900" s="1">
        <v>403.5</v>
      </c>
      <c r="C900" s="1">
        <f>LN(dane_7[[#This Row],[Dane wejściowe posortowane]])</f>
        <v>6.0001764877100037</v>
      </c>
      <c r="D900" s="1">
        <v>899</v>
      </c>
      <c r="G900" s="1">
        <f>dane_7[[#This Row],[Nr próbki]]/($G$1+1)</f>
        <v>0.89810189810189811</v>
      </c>
      <c r="H900" s="1">
        <f>(dane_7[[#This Row],[Logarytm naturalny]]-$I$2)/$J$2</f>
        <v>1.0266105299797694</v>
      </c>
      <c r="M900" s="1">
        <f t="shared" si="14"/>
        <v>0.84769805315238078</v>
      </c>
    </row>
    <row r="901" spans="1:13" x14ac:dyDescent="0.25">
      <c r="A901" s="1">
        <v>403.5</v>
      </c>
      <c r="B901" s="1">
        <v>403.5</v>
      </c>
      <c r="C901" s="1">
        <f>LN(dane_7[[#This Row],[Dane wejściowe posortowane]])</f>
        <v>6.0001764877100037</v>
      </c>
      <c r="D901" s="1">
        <v>900</v>
      </c>
      <c r="G901" s="1">
        <f>dane_7[[#This Row],[Nr próbki]]/($G$1+1)</f>
        <v>0.89910089910089908</v>
      </c>
      <c r="H901" s="1">
        <f>(dane_7[[#This Row],[Logarytm naturalny]]-$I$2)/$J$2</f>
        <v>1.0266105299797694</v>
      </c>
      <c r="M901" s="1">
        <f t="shared" si="14"/>
        <v>0.84769805315238078</v>
      </c>
    </row>
    <row r="902" spans="1:13" x14ac:dyDescent="0.25">
      <c r="A902" s="1">
        <v>403.5</v>
      </c>
      <c r="B902" s="1">
        <v>403.5</v>
      </c>
      <c r="C902" s="1">
        <f>LN(dane_7[[#This Row],[Dane wejściowe posortowane]])</f>
        <v>6.0001764877100037</v>
      </c>
      <c r="D902" s="1">
        <v>901</v>
      </c>
      <c r="G902" s="1">
        <f>dane_7[[#This Row],[Nr próbki]]/($G$1+1)</f>
        <v>0.90009990009990015</v>
      </c>
      <c r="H902" s="1">
        <f>(dane_7[[#This Row],[Logarytm naturalny]]-$I$2)/$J$2</f>
        <v>1.0266105299797694</v>
      </c>
      <c r="M902" s="1">
        <f t="shared" si="14"/>
        <v>0.84769805315238078</v>
      </c>
    </row>
    <row r="903" spans="1:13" x14ac:dyDescent="0.25">
      <c r="A903" s="1">
        <v>403.5</v>
      </c>
      <c r="B903" s="1">
        <v>403.5</v>
      </c>
      <c r="C903" s="1">
        <f>LN(dane_7[[#This Row],[Dane wejściowe posortowane]])</f>
        <v>6.0001764877100037</v>
      </c>
      <c r="D903" s="1">
        <v>902</v>
      </c>
      <c r="G903" s="1">
        <f>dane_7[[#This Row],[Nr próbki]]/($G$1+1)</f>
        <v>0.90109890109890112</v>
      </c>
      <c r="H903" s="1">
        <f>(dane_7[[#This Row],[Logarytm naturalny]]-$I$2)/$J$2</f>
        <v>1.0266105299797694</v>
      </c>
      <c r="M903" s="1">
        <f t="shared" si="14"/>
        <v>0.84769805315238078</v>
      </c>
    </row>
    <row r="904" spans="1:13" x14ac:dyDescent="0.25">
      <c r="A904" s="1">
        <v>403.6</v>
      </c>
      <c r="B904" s="1">
        <v>403.6</v>
      </c>
      <c r="C904" s="1">
        <f>LN(dane_7[[#This Row],[Dane wejściowe posortowane]])</f>
        <v>6.0004242884794543</v>
      </c>
      <c r="D904" s="1">
        <v>903</v>
      </c>
      <c r="G904" s="1">
        <f>dane_7[[#This Row],[Nr próbki]]/($G$1+1)</f>
        <v>0.90209790209790208</v>
      </c>
      <c r="H904" s="1">
        <f>(dane_7[[#This Row],[Logarytm naturalny]]-$I$2)/$J$2</f>
        <v>1.0607332638591049</v>
      </c>
      <c r="M904" s="1">
        <f t="shared" si="14"/>
        <v>0.85559443077685182</v>
      </c>
    </row>
    <row r="905" spans="1:13" x14ac:dyDescent="0.25">
      <c r="A905" s="1">
        <v>403.6</v>
      </c>
      <c r="B905" s="1">
        <v>403.6</v>
      </c>
      <c r="C905" s="1">
        <f>LN(dane_7[[#This Row],[Dane wejściowe posortowane]])</f>
        <v>6.0004242884794543</v>
      </c>
      <c r="D905" s="1">
        <v>904</v>
      </c>
      <c r="G905" s="1">
        <f>dane_7[[#This Row],[Nr próbki]]/($G$1+1)</f>
        <v>0.90309690309690305</v>
      </c>
      <c r="H905" s="1">
        <f>(dane_7[[#This Row],[Logarytm naturalny]]-$I$2)/$J$2</f>
        <v>1.0607332638591049</v>
      </c>
      <c r="M905" s="1">
        <f t="shared" si="14"/>
        <v>0.85559443077685182</v>
      </c>
    </row>
    <row r="906" spans="1:13" x14ac:dyDescent="0.25">
      <c r="A906" s="1">
        <v>403.6</v>
      </c>
      <c r="B906" s="1">
        <v>403.6</v>
      </c>
      <c r="C906" s="1">
        <f>LN(dane_7[[#This Row],[Dane wejściowe posortowane]])</f>
        <v>6.0004242884794543</v>
      </c>
      <c r="D906" s="1">
        <v>905</v>
      </c>
      <c r="G906" s="1">
        <f>dane_7[[#This Row],[Nr próbki]]/($G$1+1)</f>
        <v>0.90409590409590412</v>
      </c>
      <c r="H906" s="1">
        <f>(dane_7[[#This Row],[Logarytm naturalny]]-$I$2)/$J$2</f>
        <v>1.0607332638591049</v>
      </c>
      <c r="M906" s="1">
        <f t="shared" si="14"/>
        <v>0.85559443077685182</v>
      </c>
    </row>
    <row r="907" spans="1:13" x14ac:dyDescent="0.25">
      <c r="A907" s="1">
        <v>403.6</v>
      </c>
      <c r="B907" s="1">
        <v>403.6</v>
      </c>
      <c r="C907" s="1">
        <f>LN(dane_7[[#This Row],[Dane wejściowe posortowane]])</f>
        <v>6.0004242884794543</v>
      </c>
      <c r="D907" s="1">
        <v>906</v>
      </c>
      <c r="G907" s="1">
        <f>dane_7[[#This Row],[Nr próbki]]/($G$1+1)</f>
        <v>0.90509490509490509</v>
      </c>
      <c r="H907" s="1">
        <f>(dane_7[[#This Row],[Logarytm naturalny]]-$I$2)/$J$2</f>
        <v>1.0607332638591049</v>
      </c>
      <c r="M907" s="1">
        <f t="shared" si="14"/>
        <v>0.85559443077685182</v>
      </c>
    </row>
    <row r="908" spans="1:13" x14ac:dyDescent="0.25">
      <c r="A908" s="1">
        <v>403.6</v>
      </c>
      <c r="B908" s="1">
        <v>403.6</v>
      </c>
      <c r="C908" s="1">
        <f>LN(dane_7[[#This Row],[Dane wejściowe posortowane]])</f>
        <v>6.0004242884794543</v>
      </c>
      <c r="D908" s="1">
        <v>907</v>
      </c>
      <c r="G908" s="1">
        <f>dane_7[[#This Row],[Nr próbki]]/($G$1+1)</f>
        <v>0.90609390609390605</v>
      </c>
      <c r="H908" s="1">
        <f>(dane_7[[#This Row],[Logarytm naturalny]]-$I$2)/$J$2</f>
        <v>1.0607332638591049</v>
      </c>
      <c r="M908" s="1">
        <f t="shared" si="14"/>
        <v>0.85559443077685182</v>
      </c>
    </row>
    <row r="909" spans="1:13" x14ac:dyDescent="0.25">
      <c r="A909" s="1">
        <v>403.6</v>
      </c>
      <c r="B909" s="1">
        <v>403.6</v>
      </c>
      <c r="C909" s="1">
        <f>LN(dane_7[[#This Row],[Dane wejściowe posortowane]])</f>
        <v>6.0004242884794543</v>
      </c>
      <c r="D909" s="1">
        <v>908</v>
      </c>
      <c r="G909" s="1">
        <f>dane_7[[#This Row],[Nr próbki]]/($G$1+1)</f>
        <v>0.90709290709290713</v>
      </c>
      <c r="H909" s="1">
        <f>(dane_7[[#This Row],[Logarytm naturalny]]-$I$2)/$J$2</f>
        <v>1.0607332638591049</v>
      </c>
      <c r="M909" s="1">
        <f t="shared" si="14"/>
        <v>0.85559443077685182</v>
      </c>
    </row>
    <row r="910" spans="1:13" x14ac:dyDescent="0.25">
      <c r="A910" s="1">
        <v>403.6</v>
      </c>
      <c r="B910" s="1">
        <v>403.6</v>
      </c>
      <c r="C910" s="1">
        <f>LN(dane_7[[#This Row],[Dane wejściowe posortowane]])</f>
        <v>6.0004242884794543</v>
      </c>
      <c r="D910" s="1">
        <v>909</v>
      </c>
      <c r="G910" s="1">
        <f>dane_7[[#This Row],[Nr próbki]]/($G$1+1)</f>
        <v>0.9080919080919081</v>
      </c>
      <c r="H910" s="1">
        <f>(dane_7[[#This Row],[Logarytm naturalny]]-$I$2)/$J$2</f>
        <v>1.0607332638591049</v>
      </c>
      <c r="M910" s="1">
        <f t="shared" si="14"/>
        <v>0.85559443077685182</v>
      </c>
    </row>
    <row r="911" spans="1:13" x14ac:dyDescent="0.25">
      <c r="A911" s="1">
        <v>403.6</v>
      </c>
      <c r="B911" s="1">
        <v>403.6</v>
      </c>
      <c r="C911" s="1">
        <f>LN(dane_7[[#This Row],[Dane wejściowe posortowane]])</f>
        <v>6.0004242884794543</v>
      </c>
      <c r="D911" s="1">
        <v>910</v>
      </c>
      <c r="G911" s="1">
        <f>dane_7[[#This Row],[Nr próbki]]/($G$1+1)</f>
        <v>0.90909090909090906</v>
      </c>
      <c r="H911" s="1">
        <f>(dane_7[[#This Row],[Logarytm naturalny]]-$I$2)/$J$2</f>
        <v>1.0607332638591049</v>
      </c>
      <c r="M911" s="1">
        <f t="shared" si="14"/>
        <v>0.85559443077685182</v>
      </c>
    </row>
    <row r="912" spans="1:13" x14ac:dyDescent="0.25">
      <c r="A912" s="1">
        <v>403.6</v>
      </c>
      <c r="B912" s="1">
        <v>403.6</v>
      </c>
      <c r="C912" s="1">
        <f>LN(dane_7[[#This Row],[Dane wejściowe posortowane]])</f>
        <v>6.0004242884794543</v>
      </c>
      <c r="D912" s="1">
        <v>911</v>
      </c>
      <c r="G912" s="1">
        <f>dane_7[[#This Row],[Nr próbki]]/($G$1+1)</f>
        <v>0.91008991008991014</v>
      </c>
      <c r="H912" s="1">
        <f>(dane_7[[#This Row],[Logarytm naturalny]]-$I$2)/$J$2</f>
        <v>1.0607332638591049</v>
      </c>
      <c r="M912" s="1">
        <f t="shared" si="14"/>
        <v>0.85559443077685182</v>
      </c>
    </row>
    <row r="913" spans="1:13" x14ac:dyDescent="0.25">
      <c r="A913" s="1">
        <v>403.6</v>
      </c>
      <c r="B913" s="1">
        <v>403.6</v>
      </c>
      <c r="C913" s="1">
        <f>LN(dane_7[[#This Row],[Dane wejściowe posortowane]])</f>
        <v>6.0004242884794543</v>
      </c>
      <c r="D913" s="1">
        <v>912</v>
      </c>
      <c r="G913" s="1">
        <f>dane_7[[#This Row],[Nr próbki]]/($G$1+1)</f>
        <v>0.9110889110889111</v>
      </c>
      <c r="H913" s="1">
        <f>(dane_7[[#This Row],[Logarytm naturalny]]-$I$2)/$J$2</f>
        <v>1.0607332638591049</v>
      </c>
      <c r="M913" s="1">
        <f t="shared" si="14"/>
        <v>0.85559443077685182</v>
      </c>
    </row>
    <row r="914" spans="1:13" x14ac:dyDescent="0.25">
      <c r="A914" s="1">
        <v>403.6</v>
      </c>
      <c r="B914" s="1">
        <v>403.6</v>
      </c>
      <c r="C914" s="1">
        <f>LN(dane_7[[#This Row],[Dane wejściowe posortowane]])</f>
        <v>6.0004242884794543</v>
      </c>
      <c r="D914" s="1">
        <v>913</v>
      </c>
      <c r="G914" s="1">
        <f>dane_7[[#This Row],[Nr próbki]]/($G$1+1)</f>
        <v>0.91208791208791207</v>
      </c>
      <c r="H914" s="1">
        <f>(dane_7[[#This Row],[Logarytm naturalny]]-$I$2)/$J$2</f>
        <v>1.0607332638591049</v>
      </c>
      <c r="M914" s="1">
        <f t="shared" si="14"/>
        <v>0.85559443077685182</v>
      </c>
    </row>
    <row r="915" spans="1:13" x14ac:dyDescent="0.25">
      <c r="A915" s="1">
        <v>403.6</v>
      </c>
      <c r="B915" s="1">
        <v>403.6</v>
      </c>
      <c r="C915" s="1">
        <f>LN(dane_7[[#This Row],[Dane wejściowe posortowane]])</f>
        <v>6.0004242884794543</v>
      </c>
      <c r="D915" s="1">
        <v>914</v>
      </c>
      <c r="G915" s="1">
        <f>dane_7[[#This Row],[Nr próbki]]/($G$1+1)</f>
        <v>0.91308691308691303</v>
      </c>
      <c r="H915" s="1">
        <f>(dane_7[[#This Row],[Logarytm naturalny]]-$I$2)/$J$2</f>
        <v>1.0607332638591049</v>
      </c>
      <c r="M915" s="1">
        <f t="shared" si="14"/>
        <v>0.85559443077685182</v>
      </c>
    </row>
    <row r="916" spans="1:13" x14ac:dyDescent="0.25">
      <c r="A916" s="1">
        <v>403.7</v>
      </c>
      <c r="B916" s="1">
        <v>403.7</v>
      </c>
      <c r="C916" s="1">
        <f>LN(dane_7[[#This Row],[Dane wejściowe posortowane]])</f>
        <v>6.0006720278588954</v>
      </c>
      <c r="D916" s="1">
        <v>915</v>
      </c>
      <c r="G916" s="1">
        <f>dane_7[[#This Row],[Nr próbki]]/($G$1+1)</f>
        <v>0.91408591408591411</v>
      </c>
      <c r="H916" s="1">
        <f>(dane_7[[#This Row],[Logarytm naturalny]]-$I$2)/$J$2</f>
        <v>1.094847544193432</v>
      </c>
      <c r="M916" s="1">
        <f t="shared" si="14"/>
        <v>0.86320828338582067</v>
      </c>
    </row>
    <row r="917" spans="1:13" x14ac:dyDescent="0.25">
      <c r="A917" s="1">
        <v>403.7</v>
      </c>
      <c r="B917" s="1">
        <v>403.7</v>
      </c>
      <c r="C917" s="1">
        <f>LN(dane_7[[#This Row],[Dane wejściowe posortowane]])</f>
        <v>6.0006720278588954</v>
      </c>
      <c r="D917" s="1">
        <v>916</v>
      </c>
      <c r="G917" s="1">
        <f>dane_7[[#This Row],[Nr próbki]]/($G$1+1)</f>
        <v>0.91508491508491507</v>
      </c>
      <c r="H917" s="1">
        <f>(dane_7[[#This Row],[Logarytm naturalny]]-$I$2)/$J$2</f>
        <v>1.094847544193432</v>
      </c>
      <c r="M917" s="1">
        <f t="shared" si="14"/>
        <v>0.86320828338582067</v>
      </c>
    </row>
    <row r="918" spans="1:13" x14ac:dyDescent="0.25">
      <c r="A918" s="1">
        <v>403.7</v>
      </c>
      <c r="B918" s="1">
        <v>403.7</v>
      </c>
      <c r="C918" s="1">
        <f>LN(dane_7[[#This Row],[Dane wejściowe posortowane]])</f>
        <v>6.0006720278588954</v>
      </c>
      <c r="D918" s="1">
        <v>917</v>
      </c>
      <c r="G918" s="1">
        <f>dane_7[[#This Row],[Nr próbki]]/($G$1+1)</f>
        <v>0.91608391608391604</v>
      </c>
      <c r="H918" s="1">
        <f>(dane_7[[#This Row],[Logarytm naturalny]]-$I$2)/$J$2</f>
        <v>1.094847544193432</v>
      </c>
      <c r="M918" s="1">
        <f t="shared" si="14"/>
        <v>0.86320828338582067</v>
      </c>
    </row>
    <row r="919" spans="1:13" x14ac:dyDescent="0.25">
      <c r="A919" s="1">
        <v>403.7</v>
      </c>
      <c r="B919" s="1">
        <v>403.7</v>
      </c>
      <c r="C919" s="1">
        <f>LN(dane_7[[#This Row],[Dane wejściowe posortowane]])</f>
        <v>6.0006720278588954</v>
      </c>
      <c r="D919" s="1">
        <v>918</v>
      </c>
      <c r="G919" s="1">
        <f>dane_7[[#This Row],[Nr próbki]]/($G$1+1)</f>
        <v>0.91708291708291712</v>
      </c>
      <c r="H919" s="1">
        <f>(dane_7[[#This Row],[Logarytm naturalny]]-$I$2)/$J$2</f>
        <v>1.094847544193432</v>
      </c>
      <c r="M919" s="1">
        <f t="shared" si="14"/>
        <v>0.86320828338582067</v>
      </c>
    </row>
    <row r="920" spans="1:13" x14ac:dyDescent="0.25">
      <c r="A920" s="1">
        <v>403.7</v>
      </c>
      <c r="B920" s="1">
        <v>403.7</v>
      </c>
      <c r="C920" s="1">
        <f>LN(dane_7[[#This Row],[Dane wejściowe posortowane]])</f>
        <v>6.0006720278588954</v>
      </c>
      <c r="D920" s="1">
        <v>919</v>
      </c>
      <c r="G920" s="1">
        <f>dane_7[[#This Row],[Nr próbki]]/($G$1+1)</f>
        <v>0.91808191808191808</v>
      </c>
      <c r="H920" s="1">
        <f>(dane_7[[#This Row],[Logarytm naturalny]]-$I$2)/$J$2</f>
        <v>1.094847544193432</v>
      </c>
      <c r="M920" s="1">
        <f t="shared" si="14"/>
        <v>0.86320828338582067</v>
      </c>
    </row>
    <row r="921" spans="1:13" x14ac:dyDescent="0.25">
      <c r="A921" s="1">
        <v>403.7</v>
      </c>
      <c r="B921" s="1">
        <v>403.7</v>
      </c>
      <c r="C921" s="1">
        <f>LN(dane_7[[#This Row],[Dane wejściowe posortowane]])</f>
        <v>6.0006720278588954</v>
      </c>
      <c r="D921" s="1">
        <v>920</v>
      </c>
      <c r="G921" s="1">
        <f>dane_7[[#This Row],[Nr próbki]]/($G$1+1)</f>
        <v>0.91908091908091905</v>
      </c>
      <c r="H921" s="1">
        <f>(dane_7[[#This Row],[Logarytm naturalny]]-$I$2)/$J$2</f>
        <v>1.094847544193432</v>
      </c>
      <c r="M921" s="1">
        <f t="shared" si="14"/>
        <v>0.86320828338582067</v>
      </c>
    </row>
    <row r="922" spans="1:13" x14ac:dyDescent="0.25">
      <c r="A922" s="1">
        <v>403.7</v>
      </c>
      <c r="B922" s="1">
        <v>403.7</v>
      </c>
      <c r="C922" s="1">
        <f>LN(dane_7[[#This Row],[Dane wejściowe posortowane]])</f>
        <v>6.0006720278588954</v>
      </c>
      <c r="D922" s="1">
        <v>921</v>
      </c>
      <c r="G922" s="1">
        <f>dane_7[[#This Row],[Nr próbki]]/($G$1+1)</f>
        <v>0.92007992007992012</v>
      </c>
      <c r="H922" s="1">
        <f>(dane_7[[#This Row],[Logarytm naturalny]]-$I$2)/$J$2</f>
        <v>1.094847544193432</v>
      </c>
      <c r="M922" s="1">
        <f t="shared" si="14"/>
        <v>0.86320828338582067</v>
      </c>
    </row>
    <row r="923" spans="1:13" x14ac:dyDescent="0.25">
      <c r="A923" s="1">
        <v>403.8</v>
      </c>
      <c r="B923" s="1">
        <v>403.8</v>
      </c>
      <c r="C923" s="1">
        <f>LN(dane_7[[#This Row],[Dane wejściowe posortowane]])</f>
        <v>6.0009197058787374</v>
      </c>
      <c r="D923" s="1">
        <v>922</v>
      </c>
      <c r="G923" s="1">
        <f>dane_7[[#This Row],[Nr próbki]]/($G$1+1)</f>
        <v>0.92107892107892109</v>
      </c>
      <c r="H923" s="1">
        <f>(dane_7[[#This Row],[Logarytm naturalny]]-$I$2)/$J$2</f>
        <v>1.1289533751703242</v>
      </c>
      <c r="M923" s="1">
        <f t="shared" si="14"/>
        <v>0.8705412486228542</v>
      </c>
    </row>
    <row r="924" spans="1:13" x14ac:dyDescent="0.25">
      <c r="A924" s="1">
        <v>403.8</v>
      </c>
      <c r="B924" s="1">
        <v>403.8</v>
      </c>
      <c r="C924" s="1">
        <f>LN(dane_7[[#This Row],[Dane wejściowe posortowane]])</f>
        <v>6.0009197058787374</v>
      </c>
      <c r="D924" s="1">
        <v>923</v>
      </c>
      <c r="G924" s="1">
        <f>dane_7[[#This Row],[Nr próbki]]/($G$1+1)</f>
        <v>0.92207792207792205</v>
      </c>
      <c r="H924" s="1">
        <f>(dane_7[[#This Row],[Logarytm naturalny]]-$I$2)/$J$2</f>
        <v>1.1289533751703242</v>
      </c>
      <c r="M924" s="1">
        <f t="shared" si="14"/>
        <v>0.8705412486228542</v>
      </c>
    </row>
    <row r="925" spans="1:13" x14ac:dyDescent="0.25">
      <c r="A925" s="1">
        <v>403.8</v>
      </c>
      <c r="B925" s="1">
        <v>403.8</v>
      </c>
      <c r="C925" s="1">
        <f>LN(dane_7[[#This Row],[Dane wejściowe posortowane]])</f>
        <v>6.0009197058787374</v>
      </c>
      <c r="D925" s="1">
        <v>924</v>
      </c>
      <c r="G925" s="1">
        <f>dane_7[[#This Row],[Nr próbki]]/($G$1+1)</f>
        <v>0.92307692307692313</v>
      </c>
      <c r="H925" s="1">
        <f>(dane_7[[#This Row],[Logarytm naturalny]]-$I$2)/$J$2</f>
        <v>1.1289533751703242</v>
      </c>
      <c r="M925" s="1">
        <f t="shared" si="14"/>
        <v>0.8705412486228542</v>
      </c>
    </row>
    <row r="926" spans="1:13" x14ac:dyDescent="0.25">
      <c r="A926" s="1">
        <v>403.8</v>
      </c>
      <c r="B926" s="1">
        <v>403.8</v>
      </c>
      <c r="C926" s="1">
        <f>LN(dane_7[[#This Row],[Dane wejściowe posortowane]])</f>
        <v>6.0009197058787374</v>
      </c>
      <c r="D926" s="1">
        <v>925</v>
      </c>
      <c r="G926" s="1">
        <f>dane_7[[#This Row],[Nr próbki]]/($G$1+1)</f>
        <v>0.92407592407592409</v>
      </c>
      <c r="H926" s="1">
        <f>(dane_7[[#This Row],[Logarytm naturalny]]-$I$2)/$J$2</f>
        <v>1.1289533751703242</v>
      </c>
      <c r="M926" s="1">
        <f t="shared" si="14"/>
        <v>0.8705412486228542</v>
      </c>
    </row>
    <row r="927" spans="1:13" x14ac:dyDescent="0.25">
      <c r="A927" s="1">
        <v>403.8</v>
      </c>
      <c r="B927" s="1">
        <v>403.8</v>
      </c>
      <c r="C927" s="1">
        <f>LN(dane_7[[#This Row],[Dane wejściowe posortowane]])</f>
        <v>6.0009197058787374</v>
      </c>
      <c r="D927" s="1">
        <v>926</v>
      </c>
      <c r="G927" s="1">
        <f>dane_7[[#This Row],[Nr próbki]]/($G$1+1)</f>
        <v>0.92507492507492506</v>
      </c>
      <c r="H927" s="1">
        <f>(dane_7[[#This Row],[Logarytm naturalny]]-$I$2)/$J$2</f>
        <v>1.1289533751703242</v>
      </c>
      <c r="M927" s="1">
        <f t="shared" si="14"/>
        <v>0.8705412486228542</v>
      </c>
    </row>
    <row r="928" spans="1:13" x14ac:dyDescent="0.25">
      <c r="A928" s="1">
        <v>403.9</v>
      </c>
      <c r="B928" s="1">
        <v>403.9</v>
      </c>
      <c r="C928" s="1">
        <f>LN(dane_7[[#This Row],[Dane wejściowe posortowane]])</f>
        <v>6.0011673225693674</v>
      </c>
      <c r="D928" s="1">
        <v>927</v>
      </c>
      <c r="G928" s="1">
        <f>dane_7[[#This Row],[Nr próbki]]/($G$1+1)</f>
        <v>0.92607392607392602</v>
      </c>
      <c r="H928" s="1">
        <f>(dane_7[[#This Row],[Logarytm naturalny]]-$I$2)/$J$2</f>
        <v>1.1630507609741751</v>
      </c>
      <c r="M928" s="1">
        <f t="shared" si="14"/>
        <v>0.87759554602246359</v>
      </c>
    </row>
    <row r="929" spans="1:13" x14ac:dyDescent="0.25">
      <c r="A929" s="1">
        <v>403.9</v>
      </c>
      <c r="B929" s="1">
        <v>403.9</v>
      </c>
      <c r="C929" s="1">
        <f>LN(dane_7[[#This Row],[Dane wejściowe posortowane]])</f>
        <v>6.0011673225693674</v>
      </c>
      <c r="D929" s="1">
        <v>928</v>
      </c>
      <c r="G929" s="1">
        <f>dane_7[[#This Row],[Nr próbki]]/($G$1+1)</f>
        <v>0.9270729270729271</v>
      </c>
      <c r="H929" s="1">
        <f>(dane_7[[#This Row],[Logarytm naturalny]]-$I$2)/$J$2</f>
        <v>1.1630507609741751</v>
      </c>
      <c r="M929" s="1">
        <f t="shared" si="14"/>
        <v>0.87759554602246359</v>
      </c>
    </row>
    <row r="930" spans="1:13" x14ac:dyDescent="0.25">
      <c r="A930" s="1">
        <v>403.9</v>
      </c>
      <c r="B930" s="1">
        <v>403.9</v>
      </c>
      <c r="C930" s="1">
        <f>LN(dane_7[[#This Row],[Dane wejściowe posortowane]])</f>
        <v>6.0011673225693674</v>
      </c>
      <c r="D930" s="1">
        <v>929</v>
      </c>
      <c r="G930" s="1">
        <f>dane_7[[#This Row],[Nr próbki]]/($G$1+1)</f>
        <v>0.92807192807192807</v>
      </c>
      <c r="H930" s="1">
        <f>(dane_7[[#This Row],[Logarytm naturalny]]-$I$2)/$J$2</f>
        <v>1.1630507609741751</v>
      </c>
      <c r="M930" s="1">
        <f t="shared" si="14"/>
        <v>0.87759554602246359</v>
      </c>
    </row>
    <row r="931" spans="1:13" x14ac:dyDescent="0.25">
      <c r="A931" s="1">
        <v>404</v>
      </c>
      <c r="B931" s="1">
        <v>404</v>
      </c>
      <c r="C931" s="1">
        <f>LN(dane_7[[#This Row],[Dane wejściowe posortowane]])</f>
        <v>6.0014148779611505</v>
      </c>
      <c r="D931" s="1">
        <v>930</v>
      </c>
      <c r="G931" s="1">
        <f>dane_7[[#This Row],[Nr próbki]]/($G$1+1)</f>
        <v>0.92907092907092903</v>
      </c>
      <c r="H931" s="1">
        <f>(dane_7[[#This Row],[Logarytm naturalny]]-$I$2)/$J$2</f>
        <v>1.1971397057863209</v>
      </c>
      <c r="M931" s="1">
        <f t="shared" si="14"/>
        <v>0.88437394698198424</v>
      </c>
    </row>
    <row r="932" spans="1:13" x14ac:dyDescent="0.25">
      <c r="A932" s="1">
        <v>404</v>
      </c>
      <c r="B932" s="1">
        <v>404</v>
      </c>
      <c r="C932" s="1">
        <f>LN(dane_7[[#This Row],[Dane wejściowe posortowane]])</f>
        <v>6.0014148779611505</v>
      </c>
      <c r="D932" s="1">
        <v>931</v>
      </c>
      <c r="G932" s="1">
        <f>dane_7[[#This Row],[Nr próbki]]/($G$1+1)</f>
        <v>0.93006993006993011</v>
      </c>
      <c r="H932" s="1">
        <f>(dane_7[[#This Row],[Logarytm naturalny]]-$I$2)/$J$2</f>
        <v>1.1971397057863209</v>
      </c>
      <c r="M932" s="1">
        <f t="shared" si="14"/>
        <v>0.88437394698198424</v>
      </c>
    </row>
    <row r="933" spans="1:13" x14ac:dyDescent="0.25">
      <c r="A933" s="1">
        <v>404</v>
      </c>
      <c r="B933" s="1">
        <v>404</v>
      </c>
      <c r="C933" s="1">
        <f>LN(dane_7[[#This Row],[Dane wejściowe posortowane]])</f>
        <v>6.0014148779611505</v>
      </c>
      <c r="D933" s="1">
        <v>932</v>
      </c>
      <c r="G933" s="1">
        <f>dane_7[[#This Row],[Nr próbki]]/($G$1+1)</f>
        <v>0.93106893106893107</v>
      </c>
      <c r="H933" s="1">
        <f>(dane_7[[#This Row],[Logarytm naturalny]]-$I$2)/$J$2</f>
        <v>1.1971397057863209</v>
      </c>
      <c r="M933" s="1">
        <f t="shared" si="14"/>
        <v>0.88437394698198424</v>
      </c>
    </row>
    <row r="934" spans="1:13" x14ac:dyDescent="0.25">
      <c r="A934" s="1">
        <v>404</v>
      </c>
      <c r="B934" s="1">
        <v>404</v>
      </c>
      <c r="C934" s="1">
        <f>LN(dane_7[[#This Row],[Dane wejściowe posortowane]])</f>
        <v>6.0014148779611505</v>
      </c>
      <c r="D934" s="1">
        <v>933</v>
      </c>
      <c r="G934" s="1">
        <f>dane_7[[#This Row],[Nr próbki]]/($G$1+1)</f>
        <v>0.93206793206793204</v>
      </c>
      <c r="H934" s="1">
        <f>(dane_7[[#This Row],[Logarytm naturalny]]-$I$2)/$J$2</f>
        <v>1.1971397057863209</v>
      </c>
      <c r="M934" s="1">
        <f t="shared" si="14"/>
        <v>0.88437394698198424</v>
      </c>
    </row>
    <row r="935" spans="1:13" x14ac:dyDescent="0.25">
      <c r="A935" s="1">
        <v>404</v>
      </c>
      <c r="B935" s="1">
        <v>404</v>
      </c>
      <c r="C935" s="1">
        <f>LN(dane_7[[#This Row],[Dane wejściowe posortowane]])</f>
        <v>6.0014148779611505</v>
      </c>
      <c r="D935" s="1">
        <v>934</v>
      </c>
      <c r="G935" s="1">
        <f>dane_7[[#This Row],[Nr próbki]]/($G$1+1)</f>
        <v>0.93306693306693311</v>
      </c>
      <c r="H935" s="1">
        <f>(dane_7[[#This Row],[Logarytm naturalny]]-$I$2)/$J$2</f>
        <v>1.1971397057863209</v>
      </c>
      <c r="M935" s="1">
        <f t="shared" si="14"/>
        <v>0.88437394698198424</v>
      </c>
    </row>
    <row r="936" spans="1:13" x14ac:dyDescent="0.25">
      <c r="A936" s="1">
        <v>404</v>
      </c>
      <c r="B936" s="1">
        <v>404</v>
      </c>
      <c r="C936" s="1">
        <f>LN(dane_7[[#This Row],[Dane wejściowe posortowane]])</f>
        <v>6.0014148779611505</v>
      </c>
      <c r="D936" s="1">
        <v>935</v>
      </c>
      <c r="G936" s="1">
        <f>dane_7[[#This Row],[Nr próbki]]/($G$1+1)</f>
        <v>0.93406593406593408</v>
      </c>
      <c r="H936" s="1">
        <f>(dane_7[[#This Row],[Logarytm naturalny]]-$I$2)/$J$2</f>
        <v>1.1971397057863209</v>
      </c>
      <c r="M936" s="1">
        <f t="shared" si="14"/>
        <v>0.88437394698198424</v>
      </c>
    </row>
    <row r="937" spans="1:13" x14ac:dyDescent="0.25">
      <c r="A937" s="1">
        <v>404</v>
      </c>
      <c r="B937" s="1">
        <v>404</v>
      </c>
      <c r="C937" s="1">
        <f>LN(dane_7[[#This Row],[Dane wejściowe posortowane]])</f>
        <v>6.0014148779611505</v>
      </c>
      <c r="D937" s="1">
        <v>936</v>
      </c>
      <c r="G937" s="1">
        <f>dane_7[[#This Row],[Nr próbki]]/($G$1+1)</f>
        <v>0.93506493506493504</v>
      </c>
      <c r="H937" s="1">
        <f>(dane_7[[#This Row],[Logarytm naturalny]]-$I$2)/$J$2</f>
        <v>1.1971397057863209</v>
      </c>
      <c r="M937" s="1">
        <f t="shared" si="14"/>
        <v>0.88437394698198424</v>
      </c>
    </row>
    <row r="938" spans="1:13" x14ac:dyDescent="0.25">
      <c r="A938" s="1">
        <v>404</v>
      </c>
      <c r="B938" s="1">
        <v>404</v>
      </c>
      <c r="C938" s="1">
        <f>LN(dane_7[[#This Row],[Dane wejściowe posortowane]])</f>
        <v>6.0014148779611505</v>
      </c>
      <c r="D938" s="1">
        <v>937</v>
      </c>
      <c r="G938" s="1">
        <f>dane_7[[#This Row],[Nr próbki]]/($G$1+1)</f>
        <v>0.93606393606393601</v>
      </c>
      <c r="H938" s="1">
        <f>(dane_7[[#This Row],[Logarytm naturalny]]-$I$2)/$J$2</f>
        <v>1.1971397057863209</v>
      </c>
      <c r="M938" s="1">
        <f t="shared" si="14"/>
        <v>0.88437394698198424</v>
      </c>
    </row>
    <row r="939" spans="1:13" x14ac:dyDescent="0.25">
      <c r="A939" s="1">
        <v>404</v>
      </c>
      <c r="B939" s="1">
        <v>404</v>
      </c>
      <c r="C939" s="1">
        <f>LN(dane_7[[#This Row],[Dane wejściowe posortowane]])</f>
        <v>6.0014148779611505</v>
      </c>
      <c r="D939" s="1">
        <v>938</v>
      </c>
      <c r="G939" s="1">
        <f>dane_7[[#This Row],[Nr próbki]]/($G$1+1)</f>
        <v>0.93706293706293708</v>
      </c>
      <c r="H939" s="1">
        <f>(dane_7[[#This Row],[Logarytm naturalny]]-$I$2)/$J$2</f>
        <v>1.1971397057863209</v>
      </c>
      <c r="M939" s="1">
        <f t="shared" si="14"/>
        <v>0.88437394698198424</v>
      </c>
    </row>
    <row r="940" spans="1:13" x14ac:dyDescent="0.25">
      <c r="A940" s="1">
        <v>404.1</v>
      </c>
      <c r="B940" s="1">
        <v>404.1</v>
      </c>
      <c r="C940" s="1">
        <f>LN(dane_7[[#This Row],[Dane wejściowe posortowane]])</f>
        <v>6.0016623720844278</v>
      </c>
      <c r="D940" s="1">
        <v>939</v>
      </c>
      <c r="G940" s="1">
        <f>dane_7[[#This Row],[Nr próbki]]/($G$1+1)</f>
        <v>0.93806193806193805</v>
      </c>
      <c r="H940" s="1">
        <f>(dane_7[[#This Row],[Logarytm naturalny]]-$I$2)/$J$2</f>
        <v>1.2312202137847954</v>
      </c>
      <c r="M940" s="1">
        <f t="shared" si="14"/>
        <v>0.89087974339266518</v>
      </c>
    </row>
    <row r="941" spans="1:13" x14ac:dyDescent="0.25">
      <c r="A941" s="1">
        <v>404.1</v>
      </c>
      <c r="B941" s="1">
        <v>404.1</v>
      </c>
      <c r="C941" s="1">
        <f>LN(dane_7[[#This Row],[Dane wejściowe posortowane]])</f>
        <v>6.0016623720844278</v>
      </c>
      <c r="D941" s="1">
        <v>940</v>
      </c>
      <c r="G941" s="1">
        <f>dane_7[[#This Row],[Nr próbki]]/($G$1+1)</f>
        <v>0.93906093906093902</v>
      </c>
      <c r="H941" s="1">
        <f>(dane_7[[#This Row],[Logarytm naturalny]]-$I$2)/$J$2</f>
        <v>1.2312202137847954</v>
      </c>
      <c r="M941" s="1">
        <f t="shared" si="14"/>
        <v>0.89087974339266518</v>
      </c>
    </row>
    <row r="942" spans="1:13" x14ac:dyDescent="0.25">
      <c r="A942" s="1">
        <v>404.1</v>
      </c>
      <c r="B942" s="1">
        <v>404.1</v>
      </c>
      <c r="C942" s="1">
        <f>LN(dane_7[[#This Row],[Dane wejściowe posortowane]])</f>
        <v>6.0016623720844278</v>
      </c>
      <c r="D942" s="1">
        <v>941</v>
      </c>
      <c r="G942" s="1">
        <f>dane_7[[#This Row],[Nr próbki]]/($G$1+1)</f>
        <v>0.94005994005994009</v>
      </c>
      <c r="H942" s="1">
        <f>(dane_7[[#This Row],[Logarytm naturalny]]-$I$2)/$J$2</f>
        <v>1.2312202137847954</v>
      </c>
      <c r="M942" s="1">
        <f t="shared" si="14"/>
        <v>0.89087974339266518</v>
      </c>
    </row>
    <row r="943" spans="1:13" x14ac:dyDescent="0.25">
      <c r="A943" s="1">
        <v>404.1</v>
      </c>
      <c r="B943" s="1">
        <v>404.1</v>
      </c>
      <c r="C943" s="1">
        <f>LN(dane_7[[#This Row],[Dane wejściowe posortowane]])</f>
        <v>6.0016623720844278</v>
      </c>
      <c r="D943" s="1">
        <v>942</v>
      </c>
      <c r="G943" s="1">
        <f>dane_7[[#This Row],[Nr próbki]]/($G$1+1)</f>
        <v>0.94105894105894106</v>
      </c>
      <c r="H943" s="1">
        <f>(dane_7[[#This Row],[Logarytm naturalny]]-$I$2)/$J$2</f>
        <v>1.2312202137847954</v>
      </c>
      <c r="M943" s="1">
        <f t="shared" si="14"/>
        <v>0.89087974339266518</v>
      </c>
    </row>
    <row r="944" spans="1:13" x14ac:dyDescent="0.25">
      <c r="A944" s="1">
        <v>404.1</v>
      </c>
      <c r="B944" s="1">
        <v>404.1</v>
      </c>
      <c r="C944" s="1">
        <f>LN(dane_7[[#This Row],[Dane wejściowe posortowane]])</f>
        <v>6.0016623720844278</v>
      </c>
      <c r="D944" s="1">
        <v>943</v>
      </c>
      <c r="G944" s="1">
        <f>dane_7[[#This Row],[Nr próbki]]/($G$1+1)</f>
        <v>0.94205794205794202</v>
      </c>
      <c r="H944" s="1">
        <f>(dane_7[[#This Row],[Logarytm naturalny]]-$I$2)/$J$2</f>
        <v>1.2312202137847954</v>
      </c>
      <c r="M944" s="1">
        <f t="shared" si="14"/>
        <v>0.89087974339266518</v>
      </c>
    </row>
    <row r="945" spans="1:13" x14ac:dyDescent="0.25">
      <c r="A945" s="1">
        <v>404.1</v>
      </c>
      <c r="B945" s="1">
        <v>404.1</v>
      </c>
      <c r="C945" s="1">
        <f>LN(dane_7[[#This Row],[Dane wejściowe posortowane]])</f>
        <v>6.0016623720844278</v>
      </c>
      <c r="D945" s="1">
        <v>944</v>
      </c>
      <c r="G945" s="1">
        <f>dane_7[[#This Row],[Nr próbki]]/($G$1+1)</f>
        <v>0.9430569430569431</v>
      </c>
      <c r="H945" s="1">
        <f>(dane_7[[#This Row],[Logarytm naturalny]]-$I$2)/$J$2</f>
        <v>1.2312202137847954</v>
      </c>
      <c r="M945" s="1">
        <f t="shared" si="14"/>
        <v>0.89087974339266518</v>
      </c>
    </row>
    <row r="946" spans="1:13" x14ac:dyDescent="0.25">
      <c r="A946" s="1">
        <v>404.1</v>
      </c>
      <c r="B946" s="1">
        <v>404.1</v>
      </c>
      <c r="C946" s="1">
        <f>LN(dane_7[[#This Row],[Dane wejściowe posortowane]])</f>
        <v>6.0016623720844278</v>
      </c>
      <c r="D946" s="1">
        <v>945</v>
      </c>
      <c r="G946" s="1">
        <f>dane_7[[#This Row],[Nr próbki]]/($G$1+1)</f>
        <v>0.94405594405594406</v>
      </c>
      <c r="H946" s="1">
        <f>(dane_7[[#This Row],[Logarytm naturalny]]-$I$2)/$J$2</f>
        <v>1.2312202137847954</v>
      </c>
      <c r="M946" s="1">
        <f t="shared" si="14"/>
        <v>0.89087974339266518</v>
      </c>
    </row>
    <row r="947" spans="1:13" x14ac:dyDescent="0.25">
      <c r="A947" s="1">
        <v>404.2</v>
      </c>
      <c r="B947" s="1">
        <v>404.2</v>
      </c>
      <c r="C947" s="1">
        <f>LN(dane_7[[#This Row],[Dane wejściowe posortowane]])</f>
        <v>6.0019098049695208</v>
      </c>
      <c r="D947" s="1">
        <v>946</v>
      </c>
      <c r="G947" s="1">
        <f>dane_7[[#This Row],[Nr próbki]]/($G$1+1)</f>
        <v>0.94505494505494503</v>
      </c>
      <c r="H947" s="1">
        <f>(dane_7[[#This Row],[Logarytm naturalny]]-$I$2)/$J$2</f>
        <v>1.2652922891449421</v>
      </c>
      <c r="M947" s="1">
        <f t="shared" si="14"/>
        <v>0.89711671516347558</v>
      </c>
    </row>
    <row r="948" spans="1:13" x14ac:dyDescent="0.25">
      <c r="A948" s="1">
        <v>404.2</v>
      </c>
      <c r="B948" s="1">
        <v>404.2</v>
      </c>
      <c r="C948" s="1">
        <f>LN(dane_7[[#This Row],[Dane wejściowe posortowane]])</f>
        <v>6.0019098049695208</v>
      </c>
      <c r="D948" s="1">
        <v>947</v>
      </c>
      <c r="G948" s="1">
        <f>dane_7[[#This Row],[Nr próbki]]/($G$1+1)</f>
        <v>0.9460539460539461</v>
      </c>
      <c r="H948" s="1">
        <f>(dane_7[[#This Row],[Logarytm naturalny]]-$I$2)/$J$2</f>
        <v>1.2652922891449421</v>
      </c>
      <c r="M948" s="1">
        <f t="shared" si="14"/>
        <v>0.89711671516347558</v>
      </c>
    </row>
    <row r="949" spans="1:13" x14ac:dyDescent="0.25">
      <c r="A949" s="1">
        <v>404.2</v>
      </c>
      <c r="B949" s="1">
        <v>404.2</v>
      </c>
      <c r="C949" s="1">
        <f>LN(dane_7[[#This Row],[Dane wejściowe posortowane]])</f>
        <v>6.0019098049695208</v>
      </c>
      <c r="D949" s="1">
        <v>948</v>
      </c>
      <c r="G949" s="1">
        <f>dane_7[[#This Row],[Nr próbki]]/($G$1+1)</f>
        <v>0.94705294705294707</v>
      </c>
      <c r="H949" s="1">
        <f>(dane_7[[#This Row],[Logarytm naturalny]]-$I$2)/$J$2</f>
        <v>1.2652922891449421</v>
      </c>
      <c r="M949" s="1">
        <f t="shared" si="14"/>
        <v>0.89711671516347558</v>
      </c>
    </row>
    <row r="950" spans="1:13" x14ac:dyDescent="0.25">
      <c r="A950" s="1">
        <v>404.3</v>
      </c>
      <c r="B950" s="1">
        <v>404.3</v>
      </c>
      <c r="C950" s="1">
        <f>LN(dane_7[[#This Row],[Dane wejściowe posortowane]])</f>
        <v>6.0021571766467252</v>
      </c>
      <c r="D950" s="1">
        <v>949</v>
      </c>
      <c r="G950" s="1">
        <f>dane_7[[#This Row],[Nr próbki]]/($G$1+1)</f>
        <v>0.94805194805194803</v>
      </c>
      <c r="H950" s="1">
        <f>(dane_7[[#This Row],[Logarytm naturalny]]-$I$2)/$J$2</f>
        <v>1.2993559360385574</v>
      </c>
      <c r="M950" s="1">
        <f t="shared" si="14"/>
        <v>0.90308909686841754</v>
      </c>
    </row>
    <row r="951" spans="1:13" x14ac:dyDescent="0.25">
      <c r="A951" s="1">
        <v>404.3</v>
      </c>
      <c r="B951" s="1">
        <v>404.3</v>
      </c>
      <c r="C951" s="1">
        <f>LN(dane_7[[#This Row],[Dane wejściowe posortowane]])</f>
        <v>6.0021571766467252</v>
      </c>
      <c r="D951" s="1">
        <v>950</v>
      </c>
      <c r="G951" s="1">
        <f>dane_7[[#This Row],[Nr próbki]]/($G$1+1)</f>
        <v>0.949050949050949</v>
      </c>
      <c r="H951" s="1">
        <f>(dane_7[[#This Row],[Logarytm naturalny]]-$I$2)/$J$2</f>
        <v>1.2993559360385574</v>
      </c>
      <c r="M951" s="1">
        <f t="shared" si="14"/>
        <v>0.90308909686841754</v>
      </c>
    </row>
    <row r="952" spans="1:13" x14ac:dyDescent="0.25">
      <c r="A952" s="1">
        <v>404.3</v>
      </c>
      <c r="B952" s="1">
        <v>404.3</v>
      </c>
      <c r="C952" s="1">
        <f>LN(dane_7[[#This Row],[Dane wejściowe posortowane]])</f>
        <v>6.0021571766467252</v>
      </c>
      <c r="D952" s="1">
        <v>951</v>
      </c>
      <c r="G952" s="1">
        <f>dane_7[[#This Row],[Nr próbki]]/($G$1+1)</f>
        <v>0.95004995004995008</v>
      </c>
      <c r="H952" s="1">
        <f>(dane_7[[#This Row],[Logarytm naturalny]]-$I$2)/$J$2</f>
        <v>1.2993559360385574</v>
      </c>
      <c r="M952" s="1">
        <f t="shared" si="14"/>
        <v>0.90308909686841754</v>
      </c>
    </row>
    <row r="953" spans="1:13" x14ac:dyDescent="0.25">
      <c r="A953" s="1">
        <v>404.3</v>
      </c>
      <c r="B953" s="1">
        <v>404.3</v>
      </c>
      <c r="C953" s="1">
        <f>LN(dane_7[[#This Row],[Dane wejściowe posortowane]])</f>
        <v>6.0021571766467252</v>
      </c>
      <c r="D953" s="1">
        <v>952</v>
      </c>
      <c r="G953" s="1">
        <f>dane_7[[#This Row],[Nr próbki]]/($G$1+1)</f>
        <v>0.95104895104895104</v>
      </c>
      <c r="H953" s="1">
        <f>(dane_7[[#This Row],[Logarytm naturalny]]-$I$2)/$J$2</f>
        <v>1.2993559360385574</v>
      </c>
      <c r="M953" s="1">
        <f t="shared" si="14"/>
        <v>0.90308909686841754</v>
      </c>
    </row>
    <row r="954" spans="1:13" x14ac:dyDescent="0.25">
      <c r="A954" s="1">
        <v>404.3</v>
      </c>
      <c r="B954" s="1">
        <v>404.3</v>
      </c>
      <c r="C954" s="1">
        <f>LN(dane_7[[#This Row],[Dane wejściowe posortowane]])</f>
        <v>6.0021571766467252</v>
      </c>
      <c r="D954" s="1">
        <v>953</v>
      </c>
      <c r="G954" s="1">
        <f>dane_7[[#This Row],[Nr próbki]]/($G$1+1)</f>
        <v>0.95204795204795201</v>
      </c>
      <c r="H954" s="1">
        <f>(dane_7[[#This Row],[Logarytm naturalny]]-$I$2)/$J$2</f>
        <v>1.2993559360385574</v>
      </c>
      <c r="M954" s="1">
        <f t="shared" si="14"/>
        <v>0.90308909686841754</v>
      </c>
    </row>
    <row r="955" spans="1:13" x14ac:dyDescent="0.25">
      <c r="A955" s="1">
        <v>404.4</v>
      </c>
      <c r="B955" s="1">
        <v>404.4</v>
      </c>
      <c r="C955" s="1">
        <f>LN(dane_7[[#This Row],[Dane wejściowe posortowane]])</f>
        <v>6.0024044871463165</v>
      </c>
      <c r="D955" s="1">
        <v>954</v>
      </c>
      <c r="G955" s="1">
        <f>dane_7[[#This Row],[Nr próbki]]/($G$1+1)</f>
        <v>0.95304695304695308</v>
      </c>
      <c r="H955" s="1">
        <f>(dane_7[[#This Row],[Logarytm naturalny]]-$I$2)/$J$2</f>
        <v>1.3334111586346242</v>
      </c>
      <c r="M955" s="1">
        <f t="shared" si="14"/>
        <v>0.90880154374537025</v>
      </c>
    </row>
    <row r="956" spans="1:13" x14ac:dyDescent="0.25">
      <c r="A956" s="1">
        <v>404.4</v>
      </c>
      <c r="B956" s="1">
        <v>404.4</v>
      </c>
      <c r="C956" s="1">
        <f>LN(dane_7[[#This Row],[Dane wejściowe posortowane]])</f>
        <v>6.0024044871463165</v>
      </c>
      <c r="D956" s="1">
        <v>955</v>
      </c>
      <c r="G956" s="1">
        <f>dane_7[[#This Row],[Nr próbki]]/($G$1+1)</f>
        <v>0.95404595404595405</v>
      </c>
      <c r="H956" s="1">
        <f>(dane_7[[#This Row],[Logarytm naturalny]]-$I$2)/$J$2</f>
        <v>1.3334111586346242</v>
      </c>
      <c r="M956" s="1">
        <f t="shared" si="14"/>
        <v>0.90880154374537025</v>
      </c>
    </row>
    <row r="957" spans="1:13" x14ac:dyDescent="0.25">
      <c r="A957" s="1">
        <v>404.4</v>
      </c>
      <c r="B957" s="1">
        <v>404.4</v>
      </c>
      <c r="C957" s="1">
        <f>LN(dane_7[[#This Row],[Dane wejściowe posortowane]])</f>
        <v>6.0024044871463165</v>
      </c>
      <c r="D957" s="1">
        <v>956</v>
      </c>
      <c r="G957" s="1">
        <f>dane_7[[#This Row],[Nr próbki]]/($G$1+1)</f>
        <v>0.95504495504495501</v>
      </c>
      <c r="H957" s="1">
        <f>(dane_7[[#This Row],[Logarytm naturalny]]-$I$2)/$J$2</f>
        <v>1.3334111586346242</v>
      </c>
      <c r="M957" s="1">
        <f t="shared" si="14"/>
        <v>0.90880154374537025</v>
      </c>
    </row>
    <row r="958" spans="1:13" x14ac:dyDescent="0.25">
      <c r="A958" s="1">
        <v>404.5</v>
      </c>
      <c r="B958" s="1">
        <v>404.5</v>
      </c>
      <c r="C958" s="1">
        <f>LN(dane_7[[#This Row],[Dane wejściowe posortowane]])</f>
        <v>6.0026517364985468</v>
      </c>
      <c r="D958" s="1">
        <v>957</v>
      </c>
      <c r="G958" s="1">
        <f>dane_7[[#This Row],[Nr próbki]]/($G$1+1)</f>
        <v>0.95604395604395609</v>
      </c>
      <c r="H958" s="1">
        <f>(dane_7[[#This Row],[Logarytm naturalny]]-$I$2)/$J$2</f>
        <v>1.3674579610989466</v>
      </c>
      <c r="M958" s="1">
        <f t="shared" si="14"/>
        <v>0.91425909726796217</v>
      </c>
    </row>
    <row r="959" spans="1:13" x14ac:dyDescent="0.25">
      <c r="A959" s="1">
        <v>404.6</v>
      </c>
      <c r="B959" s="1">
        <v>404.6</v>
      </c>
      <c r="C959" s="1">
        <f>LN(dane_7[[#This Row],[Dane wejściowe posortowane]])</f>
        <v>6.0028989247336453</v>
      </c>
      <c r="D959" s="1">
        <v>958</v>
      </c>
      <c r="G959" s="1">
        <f>dane_7[[#This Row],[Nr próbki]]/($G$1+1)</f>
        <v>0.95704295704295705</v>
      </c>
      <c r="H959" s="1">
        <f>(dane_7[[#This Row],[Logarytm naturalny]]-$I$2)/$J$2</f>
        <v>1.4014963475941478</v>
      </c>
      <c r="M959" s="1">
        <f t="shared" si="14"/>
        <v>0.91946715050578098</v>
      </c>
    </row>
    <row r="960" spans="1:13" x14ac:dyDescent="0.25">
      <c r="A960" s="1">
        <v>404.6</v>
      </c>
      <c r="B960" s="1">
        <v>404.6</v>
      </c>
      <c r="C960" s="1">
        <f>LN(dane_7[[#This Row],[Dane wejściowe posortowane]])</f>
        <v>6.0028989247336453</v>
      </c>
      <c r="D960" s="1">
        <v>959</v>
      </c>
      <c r="G960" s="1">
        <f>dane_7[[#This Row],[Nr próbki]]/($G$1+1)</f>
        <v>0.95804195804195802</v>
      </c>
      <c r="H960" s="1">
        <f>(dane_7[[#This Row],[Logarytm naturalny]]-$I$2)/$J$2</f>
        <v>1.4014963475941478</v>
      </c>
      <c r="M960" s="1">
        <f t="shared" si="14"/>
        <v>0.91946715050578098</v>
      </c>
    </row>
    <row r="961" spans="1:13" x14ac:dyDescent="0.25">
      <c r="A961" s="1">
        <v>404.6</v>
      </c>
      <c r="B961" s="1">
        <v>404.6</v>
      </c>
      <c r="C961" s="1">
        <f>LN(dane_7[[#This Row],[Dane wejściowe posortowane]])</f>
        <v>6.0028989247336453</v>
      </c>
      <c r="D961" s="1">
        <v>960</v>
      </c>
      <c r="G961" s="1">
        <f>dane_7[[#This Row],[Nr próbki]]/($G$1+1)</f>
        <v>0.9590409590409591</v>
      </c>
      <c r="H961" s="1">
        <f>(dane_7[[#This Row],[Logarytm naturalny]]-$I$2)/$J$2</f>
        <v>1.4014963475941478</v>
      </c>
      <c r="M961" s="1">
        <f t="shared" si="14"/>
        <v>0.91946715050578098</v>
      </c>
    </row>
    <row r="962" spans="1:13" x14ac:dyDescent="0.25">
      <c r="A962" s="1">
        <v>404.6</v>
      </c>
      <c r="B962" s="1">
        <v>404.6</v>
      </c>
      <c r="C962" s="1">
        <f>LN(dane_7[[#This Row],[Dane wejściowe posortowane]])</f>
        <v>6.0028989247336453</v>
      </c>
      <c r="D962" s="1">
        <v>961</v>
      </c>
      <c r="G962" s="1">
        <f>dane_7[[#This Row],[Nr próbki]]/($G$1+1)</f>
        <v>0.96003996003996006</v>
      </c>
      <c r="H962" s="1">
        <f>(dane_7[[#This Row],[Logarytm naturalny]]-$I$2)/$J$2</f>
        <v>1.4014963475941478</v>
      </c>
      <c r="M962" s="1">
        <f t="shared" si="14"/>
        <v>0.91946715050578098</v>
      </c>
    </row>
    <row r="963" spans="1:13" x14ac:dyDescent="0.25">
      <c r="A963" s="1">
        <v>404.7</v>
      </c>
      <c r="B963" s="1">
        <v>404.7</v>
      </c>
      <c r="C963" s="1">
        <f>LN(dane_7[[#This Row],[Dane wejściowe posortowane]])</f>
        <v>6.0031460518818198</v>
      </c>
      <c r="D963" s="1">
        <v>962</v>
      </c>
      <c r="G963" s="1">
        <f>dane_7[[#This Row],[Nr próbki]]/($G$1+1)</f>
        <v>0.96103896103896103</v>
      </c>
      <c r="H963" s="1">
        <f>(dane_7[[#This Row],[Logarytm naturalny]]-$I$2)/$J$2</f>
        <v>1.4355263222799162</v>
      </c>
      <c r="M963" s="1">
        <f t="shared" ref="M963:M1001" si="15">LOGNORMDIST(B963:B1962,$I$2,$J$2)</f>
        <v>0.92443141347954982</v>
      </c>
    </row>
    <row r="964" spans="1:13" x14ac:dyDescent="0.25">
      <c r="A964" s="1">
        <v>404.8</v>
      </c>
      <c r="B964" s="1">
        <v>404.8</v>
      </c>
      <c r="C964" s="1">
        <f>LN(dane_7[[#This Row],[Dane wejściowe posortowane]])</f>
        <v>6.003393117973256</v>
      </c>
      <c r="D964" s="1">
        <v>963</v>
      </c>
      <c r="G964" s="1">
        <f>dane_7[[#This Row],[Nr próbki]]/($G$1+1)</f>
        <v>0.96203796203796199</v>
      </c>
      <c r="H964" s="1">
        <f>(dane_7[[#This Row],[Logarytm naturalny]]-$I$2)/$J$2</f>
        <v>1.4695478893128826</v>
      </c>
      <c r="M964" s="1">
        <f t="shared" si="15"/>
        <v>0.92915787870822453</v>
      </c>
    </row>
    <row r="965" spans="1:13" x14ac:dyDescent="0.25">
      <c r="A965" s="1">
        <v>404.9</v>
      </c>
      <c r="B965" s="1">
        <v>404.9</v>
      </c>
      <c r="C965" s="1">
        <f>LN(dane_7[[#This Row],[Dane wejściowe posortowane]])</f>
        <v>6.0036401230381156</v>
      </c>
      <c r="D965" s="1">
        <v>964</v>
      </c>
      <c r="G965" s="1">
        <f>dane_7[[#This Row],[Nr próbki]]/($G$1+1)</f>
        <v>0.96303696303696307</v>
      </c>
      <c r="H965" s="1">
        <f>(dane_7[[#This Row],[Logarytm naturalny]]-$I$2)/$J$2</f>
        <v>1.5035610528463752</v>
      </c>
      <c r="M965" s="1">
        <f t="shared" si="15"/>
        <v>0.93365278713437716</v>
      </c>
    </row>
    <row r="966" spans="1:13" x14ac:dyDescent="0.25">
      <c r="A966" s="1">
        <v>404.9</v>
      </c>
      <c r="B966" s="1">
        <v>404.9</v>
      </c>
      <c r="C966" s="1">
        <f>LN(dane_7[[#This Row],[Dane wejściowe posortowane]])</f>
        <v>6.0036401230381156</v>
      </c>
      <c r="D966" s="1">
        <v>965</v>
      </c>
      <c r="G966" s="1">
        <f>dane_7[[#This Row],[Nr próbki]]/($G$1+1)</f>
        <v>0.96403596403596403</v>
      </c>
      <c r="H966" s="1">
        <f>(dane_7[[#This Row],[Logarytm naturalny]]-$I$2)/$J$2</f>
        <v>1.5035610528463752</v>
      </c>
      <c r="M966" s="1">
        <f t="shared" si="15"/>
        <v>0.93365278713437716</v>
      </c>
    </row>
    <row r="967" spans="1:13" x14ac:dyDescent="0.25">
      <c r="A967" s="1">
        <v>404.9</v>
      </c>
      <c r="B967" s="1">
        <v>404.9</v>
      </c>
      <c r="C967" s="1">
        <f>LN(dane_7[[#This Row],[Dane wejściowe posortowane]])</f>
        <v>6.0036401230381156</v>
      </c>
      <c r="D967" s="1">
        <v>966</v>
      </c>
      <c r="G967" s="1">
        <f>dane_7[[#This Row],[Nr próbki]]/($G$1+1)</f>
        <v>0.965034965034965</v>
      </c>
      <c r="H967" s="1">
        <f>(dane_7[[#This Row],[Logarytm naturalny]]-$I$2)/$J$2</f>
        <v>1.5035610528463752</v>
      </c>
      <c r="M967" s="1">
        <f t="shared" si="15"/>
        <v>0.93365278713437716</v>
      </c>
    </row>
    <row r="968" spans="1:13" x14ac:dyDescent="0.25">
      <c r="A968" s="1">
        <v>404.9</v>
      </c>
      <c r="B968" s="1">
        <v>404.9</v>
      </c>
      <c r="C968" s="1">
        <f>LN(dane_7[[#This Row],[Dane wejściowe posortowane]])</f>
        <v>6.0036401230381156</v>
      </c>
      <c r="D968" s="1">
        <v>967</v>
      </c>
      <c r="G968" s="1">
        <f>dane_7[[#This Row],[Nr próbki]]/($G$1+1)</f>
        <v>0.96603396603396607</v>
      </c>
      <c r="H968" s="1">
        <f>(dane_7[[#This Row],[Logarytm naturalny]]-$I$2)/$J$2</f>
        <v>1.5035610528463752</v>
      </c>
      <c r="M968" s="1">
        <f t="shared" si="15"/>
        <v>0.93365278713437716</v>
      </c>
    </row>
    <row r="969" spans="1:13" x14ac:dyDescent="0.25">
      <c r="A969" s="1">
        <v>404.9</v>
      </c>
      <c r="B969" s="1">
        <v>404.9</v>
      </c>
      <c r="C969" s="1">
        <f>LN(dane_7[[#This Row],[Dane wejściowe posortowane]])</f>
        <v>6.0036401230381156</v>
      </c>
      <c r="D969" s="1">
        <v>968</v>
      </c>
      <c r="G969" s="1">
        <f>dane_7[[#This Row],[Nr próbki]]/($G$1+1)</f>
        <v>0.96703296703296704</v>
      </c>
      <c r="H969" s="1">
        <f>(dane_7[[#This Row],[Logarytm naturalny]]-$I$2)/$J$2</f>
        <v>1.5035610528463752</v>
      </c>
      <c r="M969" s="1">
        <f t="shared" si="15"/>
        <v>0.93365278713437716</v>
      </c>
    </row>
    <row r="970" spans="1:13" x14ac:dyDescent="0.25">
      <c r="A970" s="1">
        <v>405</v>
      </c>
      <c r="B970" s="1">
        <v>405</v>
      </c>
      <c r="C970" s="1">
        <f>LN(dane_7[[#This Row],[Dane wejściowe posortowane]])</f>
        <v>6.0038870671065387</v>
      </c>
      <c r="D970" s="1">
        <v>969</v>
      </c>
      <c r="G970" s="1">
        <f>dane_7[[#This Row],[Nr próbki]]/($G$1+1)</f>
        <v>0.968031968031968</v>
      </c>
      <c r="H970" s="1">
        <f>(dane_7[[#This Row],[Logarytm naturalny]]-$I$2)/$J$2</f>
        <v>1.5375658170307873</v>
      </c>
      <c r="M970" s="1">
        <f t="shared" si="15"/>
        <v>0.93792259460259375</v>
      </c>
    </row>
    <row r="971" spans="1:13" x14ac:dyDescent="0.25">
      <c r="A971" s="1">
        <v>405</v>
      </c>
      <c r="B971" s="1">
        <v>405</v>
      </c>
      <c r="C971" s="1">
        <f>LN(dane_7[[#This Row],[Dane wejściowe posortowane]])</f>
        <v>6.0038870671065387</v>
      </c>
      <c r="D971" s="1">
        <v>970</v>
      </c>
      <c r="G971" s="1">
        <f>dane_7[[#This Row],[Nr próbki]]/($G$1+1)</f>
        <v>0.96903096903096908</v>
      </c>
      <c r="H971" s="1">
        <f>(dane_7[[#This Row],[Logarytm naturalny]]-$I$2)/$J$2</f>
        <v>1.5375658170307873</v>
      </c>
      <c r="M971" s="1">
        <f t="shared" si="15"/>
        <v>0.93792259460259375</v>
      </c>
    </row>
    <row r="972" spans="1:13" x14ac:dyDescent="0.25">
      <c r="A972" s="1">
        <v>405</v>
      </c>
      <c r="B972" s="1">
        <v>405</v>
      </c>
      <c r="C972" s="1">
        <f>LN(dane_7[[#This Row],[Dane wejściowe posortowane]])</f>
        <v>6.0038870671065387</v>
      </c>
      <c r="D972" s="1">
        <v>971</v>
      </c>
      <c r="G972" s="1">
        <f>dane_7[[#This Row],[Nr próbki]]/($G$1+1)</f>
        <v>0.97002997002997005</v>
      </c>
      <c r="H972" s="1">
        <f>(dane_7[[#This Row],[Logarytm naturalny]]-$I$2)/$J$2</f>
        <v>1.5375658170307873</v>
      </c>
      <c r="M972" s="1">
        <f t="shared" si="15"/>
        <v>0.93792259460259375</v>
      </c>
    </row>
    <row r="973" spans="1:13" x14ac:dyDescent="0.25">
      <c r="A973" s="1">
        <v>405.1</v>
      </c>
      <c r="B973" s="1">
        <v>405.1</v>
      </c>
      <c r="C973" s="1">
        <f>LN(dane_7[[#This Row],[Dane wejściowe posortowane]])</f>
        <v>6.0041339502086446</v>
      </c>
      <c r="D973" s="1">
        <v>972</v>
      </c>
      <c r="G973" s="1">
        <f>dane_7[[#This Row],[Nr próbki]]/($G$1+1)</f>
        <v>0.97102897102897101</v>
      </c>
      <c r="H973" s="1">
        <f>(dane_7[[#This Row],[Logarytm naturalny]]-$I$2)/$J$2</f>
        <v>1.5715621860135769</v>
      </c>
      <c r="M973" s="1">
        <f t="shared" si="15"/>
        <v>0.94197393905289095</v>
      </c>
    </row>
    <row r="974" spans="1:13" x14ac:dyDescent="0.25">
      <c r="A974" s="1">
        <v>405.1</v>
      </c>
      <c r="B974" s="1">
        <v>405.1</v>
      </c>
      <c r="C974" s="1">
        <f>LN(dane_7[[#This Row],[Dane wejściowe posortowane]])</f>
        <v>6.0041339502086446</v>
      </c>
      <c r="D974" s="1">
        <v>973</v>
      </c>
      <c r="G974" s="1">
        <f>dane_7[[#This Row],[Nr próbki]]/($G$1+1)</f>
        <v>0.97202797202797198</v>
      </c>
      <c r="H974" s="1">
        <f>(dane_7[[#This Row],[Logarytm naturalny]]-$I$2)/$J$2</f>
        <v>1.5715621860135769</v>
      </c>
      <c r="M974" s="1">
        <f t="shared" si="15"/>
        <v>0.94197393905289095</v>
      </c>
    </row>
    <row r="975" spans="1:13" x14ac:dyDescent="0.25">
      <c r="A975" s="1">
        <v>405.1</v>
      </c>
      <c r="B975" s="1">
        <v>405.1</v>
      </c>
      <c r="C975" s="1">
        <f>LN(dane_7[[#This Row],[Dane wejściowe posortowane]])</f>
        <v>6.0041339502086446</v>
      </c>
      <c r="D975" s="1">
        <v>974</v>
      </c>
      <c r="G975" s="1">
        <f>dane_7[[#This Row],[Nr próbki]]/($G$1+1)</f>
        <v>0.97302697302697305</v>
      </c>
      <c r="H975" s="1">
        <f>(dane_7[[#This Row],[Logarytm naturalny]]-$I$2)/$J$2</f>
        <v>1.5715621860135769</v>
      </c>
      <c r="M975" s="1">
        <f t="shared" si="15"/>
        <v>0.94197393905289095</v>
      </c>
    </row>
    <row r="976" spans="1:13" x14ac:dyDescent="0.25">
      <c r="A976" s="1">
        <v>405.1</v>
      </c>
      <c r="B976" s="1">
        <v>405.1</v>
      </c>
      <c r="C976" s="1">
        <f>LN(dane_7[[#This Row],[Dane wejściowe posortowane]])</f>
        <v>6.0041339502086446</v>
      </c>
      <c r="D976" s="1">
        <v>975</v>
      </c>
      <c r="G976" s="1">
        <f>dane_7[[#This Row],[Nr próbki]]/($G$1+1)</f>
        <v>0.97402597402597402</v>
      </c>
      <c r="H976" s="1">
        <f>(dane_7[[#This Row],[Logarytm naturalny]]-$I$2)/$J$2</f>
        <v>1.5715621860135769</v>
      </c>
      <c r="M976" s="1">
        <f t="shared" si="15"/>
        <v>0.94197393905289095</v>
      </c>
    </row>
    <row r="977" spans="1:13" x14ac:dyDescent="0.25">
      <c r="A977" s="1">
        <v>405.2</v>
      </c>
      <c r="B977" s="1">
        <v>405.2</v>
      </c>
      <c r="C977" s="1">
        <f>LN(dane_7[[#This Row],[Dane wejściowe posortowane]])</f>
        <v>6.0043807723745282</v>
      </c>
      <c r="D977" s="1">
        <v>976</v>
      </c>
      <c r="G977" s="1">
        <f>dane_7[[#This Row],[Nr próbki]]/($G$1+1)</f>
        <v>0.97502497502497498</v>
      </c>
      <c r="H977" s="1">
        <f>(dane_7[[#This Row],[Logarytm naturalny]]-$I$2)/$J$2</f>
        <v>1.6055501639388994</v>
      </c>
      <c r="M977" s="1">
        <f t="shared" si="15"/>
        <v>0.9458136085781722</v>
      </c>
    </row>
    <row r="978" spans="1:13" x14ac:dyDescent="0.25">
      <c r="A978" s="1">
        <v>405.2</v>
      </c>
      <c r="B978" s="1">
        <v>405.2</v>
      </c>
      <c r="C978" s="1">
        <f>LN(dane_7[[#This Row],[Dane wejściowe posortowane]])</f>
        <v>6.0043807723745282</v>
      </c>
      <c r="D978" s="1">
        <v>977</v>
      </c>
      <c r="G978" s="1">
        <f>dane_7[[#This Row],[Nr próbki]]/($G$1+1)</f>
        <v>0.97602397602397606</v>
      </c>
      <c r="H978" s="1">
        <f>(dane_7[[#This Row],[Logarytm naturalny]]-$I$2)/$J$2</f>
        <v>1.6055501639388994</v>
      </c>
      <c r="M978" s="1">
        <f t="shared" si="15"/>
        <v>0.9458136085781722</v>
      </c>
    </row>
    <row r="979" spans="1:13" x14ac:dyDescent="0.25">
      <c r="A979" s="1">
        <v>405.2</v>
      </c>
      <c r="B979" s="1">
        <v>405.2</v>
      </c>
      <c r="C979" s="1">
        <f>LN(dane_7[[#This Row],[Dane wejściowe posortowane]])</f>
        <v>6.0043807723745282</v>
      </c>
      <c r="D979" s="1">
        <v>978</v>
      </c>
      <c r="G979" s="1">
        <f>dane_7[[#This Row],[Nr próbki]]/($G$1+1)</f>
        <v>0.97702297702297702</v>
      </c>
      <c r="H979" s="1">
        <f>(dane_7[[#This Row],[Logarytm naturalny]]-$I$2)/$J$2</f>
        <v>1.6055501639388994</v>
      </c>
      <c r="M979" s="1">
        <f t="shared" si="15"/>
        <v>0.9458136085781722</v>
      </c>
    </row>
    <row r="980" spans="1:13" x14ac:dyDescent="0.25">
      <c r="A980" s="1">
        <v>405.2</v>
      </c>
      <c r="B980" s="1">
        <v>405.2</v>
      </c>
      <c r="C980" s="1">
        <f>LN(dane_7[[#This Row],[Dane wejściowe posortowane]])</f>
        <v>6.0043807723745282</v>
      </c>
      <c r="D980" s="1">
        <v>979</v>
      </c>
      <c r="G980" s="1">
        <f>dane_7[[#This Row],[Nr próbki]]/($G$1+1)</f>
        <v>0.97802197802197799</v>
      </c>
      <c r="H980" s="1">
        <f>(dane_7[[#This Row],[Logarytm naturalny]]-$I$2)/$J$2</f>
        <v>1.6055501639388994</v>
      </c>
      <c r="M980" s="1">
        <f t="shared" si="15"/>
        <v>0.9458136085781722</v>
      </c>
    </row>
    <row r="981" spans="1:13" x14ac:dyDescent="0.25">
      <c r="A981" s="1">
        <v>405.3</v>
      </c>
      <c r="B981" s="1">
        <v>405.3</v>
      </c>
      <c r="C981" s="1">
        <f>LN(dane_7[[#This Row],[Dane wejściowe posortowane]])</f>
        <v>6.0046275336342632</v>
      </c>
      <c r="D981" s="1">
        <v>980</v>
      </c>
      <c r="G981" s="1">
        <f>dane_7[[#This Row],[Nr próbki]]/($G$1+1)</f>
        <v>0.97902097902097907</v>
      </c>
      <c r="H981" s="1">
        <f>(dane_7[[#This Row],[Logarytm naturalny]]-$I$2)/$J$2</f>
        <v>1.6395297549479753</v>
      </c>
      <c r="M981" s="1">
        <f t="shared" si="15"/>
        <v>0.94944851048122392</v>
      </c>
    </row>
    <row r="982" spans="1:13" x14ac:dyDescent="0.25">
      <c r="A982" s="1">
        <v>405.4</v>
      </c>
      <c r="B982" s="1">
        <v>405.4</v>
      </c>
      <c r="C982" s="1">
        <f>LN(dane_7[[#This Row],[Dane wejściowe posortowane]])</f>
        <v>6.0048742340178993</v>
      </c>
      <c r="D982" s="1">
        <v>981</v>
      </c>
      <c r="G982" s="1">
        <f>dane_7[[#This Row],[Nr próbki]]/($G$1+1)</f>
        <v>0.98001998001998003</v>
      </c>
      <c r="H982" s="1">
        <f>(dane_7[[#This Row],[Logarytm naturalny]]-$I$2)/$J$2</f>
        <v>1.6735009631787228</v>
      </c>
      <c r="M982" s="1">
        <f t="shared" si="15"/>
        <v>0.95288564145246657</v>
      </c>
    </row>
    <row r="983" spans="1:13" x14ac:dyDescent="0.25">
      <c r="A983" s="1">
        <v>405.5</v>
      </c>
      <c r="B983" s="1">
        <v>405.5</v>
      </c>
      <c r="C983" s="1">
        <f>LN(dane_7[[#This Row],[Dane wejściowe posortowane]])</f>
        <v>6.0051208735554678</v>
      </c>
      <c r="D983" s="1">
        <v>982</v>
      </c>
      <c r="G983" s="1">
        <f>dane_7[[#This Row],[Nr próbki]]/($G$1+1)</f>
        <v>0.981018981018981</v>
      </c>
      <c r="H983" s="1">
        <f>(dane_7[[#This Row],[Logarytm naturalny]]-$I$2)/$J$2</f>
        <v>1.7074637927664913</v>
      </c>
      <c r="M983" s="1">
        <f t="shared" si="15"/>
        <v>0.95613205897585862</v>
      </c>
    </row>
    <row r="984" spans="1:13" x14ac:dyDescent="0.25">
      <c r="A984" s="1">
        <v>405.5</v>
      </c>
      <c r="B984" s="1">
        <v>405.5</v>
      </c>
      <c r="C984" s="1">
        <f>LN(dane_7[[#This Row],[Dane wejściowe posortowane]])</f>
        <v>6.0051208735554678</v>
      </c>
      <c r="D984" s="1">
        <v>983</v>
      </c>
      <c r="G984" s="1">
        <f>dane_7[[#This Row],[Nr próbki]]/($G$1+1)</f>
        <v>0.98201798201798207</v>
      </c>
      <c r="H984" s="1">
        <f>(dane_7[[#This Row],[Logarytm naturalny]]-$I$2)/$J$2</f>
        <v>1.7074637927664913</v>
      </c>
      <c r="M984" s="1">
        <f t="shared" si="15"/>
        <v>0.95613205897585862</v>
      </c>
    </row>
    <row r="985" spans="1:13" x14ac:dyDescent="0.25">
      <c r="A985" s="1">
        <v>405.5</v>
      </c>
      <c r="B985" s="1">
        <v>405.5</v>
      </c>
      <c r="C985" s="1">
        <f>LN(dane_7[[#This Row],[Dane wejściowe posortowane]])</f>
        <v>6.0051208735554678</v>
      </c>
      <c r="D985" s="1">
        <v>984</v>
      </c>
      <c r="G985" s="1">
        <f>dane_7[[#This Row],[Nr próbki]]/($G$1+1)</f>
        <v>0.98301698301698304</v>
      </c>
      <c r="H985" s="1">
        <f>(dane_7[[#This Row],[Logarytm naturalny]]-$I$2)/$J$2</f>
        <v>1.7074637927664913</v>
      </c>
      <c r="M985" s="1">
        <f t="shared" si="15"/>
        <v>0.95613205897585862</v>
      </c>
    </row>
    <row r="986" spans="1:13" x14ac:dyDescent="0.25">
      <c r="A986" s="1">
        <v>405.6</v>
      </c>
      <c r="B986" s="1">
        <v>405.6</v>
      </c>
      <c r="C986" s="1">
        <f>LN(dane_7[[#This Row],[Dane wejściowe posortowane]])</f>
        <v>6.0053674522769738</v>
      </c>
      <c r="D986" s="1">
        <v>985</v>
      </c>
      <c r="G986" s="1">
        <f>dane_7[[#This Row],[Nr próbki]]/($G$1+1)</f>
        <v>0.984015984015984</v>
      </c>
      <c r="H986" s="1">
        <f>(dane_7[[#This Row],[Logarytm naturalny]]-$I$2)/$J$2</f>
        <v>1.741418247843084</v>
      </c>
      <c r="M986" s="1">
        <f t="shared" si="15"/>
        <v>0.9591948540556221</v>
      </c>
    </row>
    <row r="987" spans="1:13" x14ac:dyDescent="0.25">
      <c r="A987" s="1">
        <v>405.6</v>
      </c>
      <c r="B987" s="1">
        <v>405.6</v>
      </c>
      <c r="C987" s="1">
        <f>LN(dane_7[[#This Row],[Dane wejściowe posortowane]])</f>
        <v>6.0053674522769738</v>
      </c>
      <c r="D987" s="1">
        <v>986</v>
      </c>
      <c r="G987" s="1">
        <f>dane_7[[#This Row],[Nr próbki]]/($G$1+1)</f>
        <v>0.98501498501498497</v>
      </c>
      <c r="H987" s="1">
        <f>(dane_7[[#This Row],[Logarytm naturalny]]-$I$2)/$J$2</f>
        <v>1.741418247843084</v>
      </c>
      <c r="M987" s="1">
        <f t="shared" si="15"/>
        <v>0.9591948540556221</v>
      </c>
    </row>
    <row r="988" spans="1:13" x14ac:dyDescent="0.25">
      <c r="A988" s="1">
        <v>405.6</v>
      </c>
      <c r="B988" s="1">
        <v>405.6</v>
      </c>
      <c r="C988" s="1">
        <f>LN(dane_7[[#This Row],[Dane wejściowe posortowane]])</f>
        <v>6.0053674522769738</v>
      </c>
      <c r="D988" s="1">
        <v>987</v>
      </c>
      <c r="G988" s="1">
        <f>dane_7[[#This Row],[Nr próbki]]/($G$1+1)</f>
        <v>0.98601398601398604</v>
      </c>
      <c r="H988" s="1">
        <f>(dane_7[[#This Row],[Logarytm naturalny]]-$I$2)/$J$2</f>
        <v>1.741418247843084</v>
      </c>
      <c r="M988" s="1">
        <f t="shared" si="15"/>
        <v>0.9591948540556221</v>
      </c>
    </row>
    <row r="989" spans="1:13" x14ac:dyDescent="0.25">
      <c r="A989" s="1">
        <v>405.6</v>
      </c>
      <c r="B989" s="1">
        <v>405.6</v>
      </c>
      <c r="C989" s="1">
        <f>LN(dane_7[[#This Row],[Dane wejściowe posortowane]])</f>
        <v>6.0053674522769738</v>
      </c>
      <c r="D989" s="1">
        <v>988</v>
      </c>
      <c r="G989" s="1">
        <f>dane_7[[#This Row],[Nr próbki]]/($G$1+1)</f>
        <v>0.98701298701298701</v>
      </c>
      <c r="H989" s="1">
        <f>(dane_7[[#This Row],[Logarytm naturalny]]-$I$2)/$J$2</f>
        <v>1.741418247843084</v>
      </c>
      <c r="M989" s="1">
        <f t="shared" si="15"/>
        <v>0.9591948540556221</v>
      </c>
    </row>
    <row r="990" spans="1:13" x14ac:dyDescent="0.25">
      <c r="A990" s="1">
        <v>405.7</v>
      </c>
      <c r="B990" s="1">
        <v>405.7</v>
      </c>
      <c r="C990" s="1">
        <f>LN(dane_7[[#This Row],[Dane wejściowe posortowane]])</f>
        <v>6.0056139702124014</v>
      </c>
      <c r="D990" s="1">
        <v>989</v>
      </c>
      <c r="G990" s="1">
        <f>dane_7[[#This Row],[Nr próbki]]/($G$1+1)</f>
        <v>0.98801198801198797</v>
      </c>
      <c r="H990" s="1">
        <f>(dane_7[[#This Row],[Logarytm naturalny]]-$I$2)/$J$2</f>
        <v>1.7753643325373687</v>
      </c>
      <c r="M990" s="1">
        <f t="shared" si="15"/>
        <v>0.96208112534289703</v>
      </c>
    </row>
    <row r="991" spans="1:13" x14ac:dyDescent="0.25">
      <c r="A991" s="1">
        <v>405.7</v>
      </c>
      <c r="B991" s="1">
        <v>405.7</v>
      </c>
      <c r="C991" s="1">
        <f>LN(dane_7[[#This Row],[Dane wejściowe posortowane]])</f>
        <v>6.0056139702124014</v>
      </c>
      <c r="D991" s="1">
        <v>990</v>
      </c>
      <c r="G991" s="1">
        <f>dane_7[[#This Row],[Nr próbki]]/($G$1+1)</f>
        <v>0.98901098901098905</v>
      </c>
      <c r="H991" s="1">
        <f>(dane_7[[#This Row],[Logarytm naturalny]]-$I$2)/$J$2</f>
        <v>1.7753643325373687</v>
      </c>
      <c r="M991" s="1">
        <f t="shared" si="15"/>
        <v>0.96208112534289703</v>
      </c>
    </row>
    <row r="992" spans="1:13" x14ac:dyDescent="0.25">
      <c r="A992" s="1">
        <v>405.7</v>
      </c>
      <c r="B992" s="1">
        <v>405.7</v>
      </c>
      <c r="C992" s="1">
        <f>LN(dane_7[[#This Row],[Dane wejściowe posortowane]])</f>
        <v>6.0056139702124014</v>
      </c>
      <c r="D992" s="1">
        <v>991</v>
      </c>
      <c r="G992" s="1">
        <f>dane_7[[#This Row],[Nr próbki]]/($G$1+1)</f>
        <v>0.99000999000999002</v>
      </c>
      <c r="H992" s="1">
        <f>(dane_7[[#This Row],[Logarytm naturalny]]-$I$2)/$J$2</f>
        <v>1.7753643325373687</v>
      </c>
      <c r="M992" s="1">
        <f t="shared" si="15"/>
        <v>0.96208112534289703</v>
      </c>
    </row>
    <row r="993" spans="1:13" x14ac:dyDescent="0.25">
      <c r="A993" s="1">
        <v>405.7</v>
      </c>
      <c r="B993" s="1">
        <v>405.7</v>
      </c>
      <c r="C993" s="1">
        <f>LN(dane_7[[#This Row],[Dane wejściowe posortowane]])</f>
        <v>6.0056139702124014</v>
      </c>
      <c r="D993" s="1">
        <v>992</v>
      </c>
      <c r="G993" s="1">
        <f>dane_7[[#This Row],[Nr próbki]]/($G$1+1)</f>
        <v>0.99100899100899098</v>
      </c>
      <c r="H993" s="1">
        <f>(dane_7[[#This Row],[Logarytm naturalny]]-$I$2)/$J$2</f>
        <v>1.7753643325373687</v>
      </c>
      <c r="M993" s="1">
        <f t="shared" si="15"/>
        <v>0.96208112534289703</v>
      </c>
    </row>
    <row r="994" spans="1:13" x14ac:dyDescent="0.25">
      <c r="A994" s="1">
        <v>405.8</v>
      </c>
      <c r="B994" s="1">
        <v>405.8</v>
      </c>
      <c r="C994" s="1">
        <f>LN(dane_7[[#This Row],[Dane wejściowe posortowane]])</f>
        <v>6.0058604273917142</v>
      </c>
      <c r="D994" s="1">
        <v>993</v>
      </c>
      <c r="G994" s="1">
        <f>dane_7[[#This Row],[Nr próbki]]/($G$1+1)</f>
        <v>0.99200799200799206</v>
      </c>
      <c r="H994" s="1">
        <f>(dane_7[[#This Row],[Logarytm naturalny]]-$I$2)/$J$2</f>
        <v>1.8093020509753996</v>
      </c>
      <c r="M994" s="1">
        <f t="shared" si="15"/>
        <v>0.96479795472689167</v>
      </c>
    </row>
    <row r="995" spans="1:13" x14ac:dyDescent="0.25">
      <c r="A995" s="1">
        <v>405.9</v>
      </c>
      <c r="B995" s="1">
        <v>405.9</v>
      </c>
      <c r="C995" s="1">
        <f>LN(dane_7[[#This Row],[Dane wejściowe posortowane]])</f>
        <v>6.0061068238448518</v>
      </c>
      <c r="D995" s="1">
        <v>994</v>
      </c>
      <c r="G995" s="1">
        <f>dane_7[[#This Row],[Nr próbki]]/($G$1+1)</f>
        <v>0.99300699300699302</v>
      </c>
      <c r="H995" s="1">
        <f>(dane_7[[#This Row],[Logarytm naturalny]]-$I$2)/$J$2</f>
        <v>1.8432314072799294</v>
      </c>
      <c r="M995" s="1">
        <f t="shared" si="15"/>
        <v>0.9673523844416434</v>
      </c>
    </row>
    <row r="996" spans="1:13" x14ac:dyDescent="0.25">
      <c r="A996" s="1">
        <v>405.9</v>
      </c>
      <c r="B996" s="1">
        <v>405.9</v>
      </c>
      <c r="C996" s="1">
        <f>LN(dane_7[[#This Row],[Dane wejściowe posortowane]])</f>
        <v>6.0061068238448518</v>
      </c>
      <c r="D996" s="1">
        <v>995</v>
      </c>
      <c r="G996" s="1">
        <f>dane_7[[#This Row],[Nr próbki]]/($G$1+1)</f>
        <v>0.99400599400599399</v>
      </c>
      <c r="H996" s="1">
        <f>(dane_7[[#This Row],[Logarytm naturalny]]-$I$2)/$J$2</f>
        <v>1.8432314072799294</v>
      </c>
      <c r="M996" s="1">
        <f t="shared" si="15"/>
        <v>0.9673523844416434</v>
      </c>
    </row>
    <row r="997" spans="1:13" x14ac:dyDescent="0.25">
      <c r="A997" s="1">
        <v>405.9</v>
      </c>
      <c r="B997" s="1">
        <v>405.9</v>
      </c>
      <c r="C997" s="1">
        <f>LN(dane_7[[#This Row],[Dane wejściowe posortowane]])</f>
        <v>6.0061068238448518</v>
      </c>
      <c r="D997" s="1">
        <v>996</v>
      </c>
      <c r="G997" s="1">
        <f>dane_7[[#This Row],[Nr próbki]]/($G$1+1)</f>
        <v>0.99500499500499495</v>
      </c>
      <c r="H997" s="1">
        <f>(dane_7[[#This Row],[Logarytm naturalny]]-$I$2)/$J$2</f>
        <v>1.8432314072799294</v>
      </c>
      <c r="M997" s="1">
        <f t="shared" si="15"/>
        <v>0.9673523844416434</v>
      </c>
    </row>
    <row r="998" spans="1:13" x14ac:dyDescent="0.25">
      <c r="A998" s="1">
        <v>406</v>
      </c>
      <c r="B998" s="1">
        <v>406</v>
      </c>
      <c r="C998" s="1">
        <f>LN(dane_7[[#This Row],[Dane wejściowe posortowane]])</f>
        <v>6.0063531596017325</v>
      </c>
      <c r="D998" s="1">
        <v>997</v>
      </c>
      <c r="G998" s="1">
        <f>dane_7[[#This Row],[Nr próbki]]/($G$1+1)</f>
        <v>0.99600399600399603</v>
      </c>
      <c r="H998" s="1">
        <f>(dane_7[[#This Row],[Logarytm naturalny]]-$I$2)/$J$2</f>
        <v>1.8771524055707751</v>
      </c>
      <c r="M998" s="1">
        <f t="shared" si="15"/>
        <v>0.96975139572634783</v>
      </c>
    </row>
    <row r="999" spans="1:13" x14ac:dyDescent="0.25">
      <c r="A999" s="1">
        <v>406.1</v>
      </c>
      <c r="B999" s="1">
        <v>406.1</v>
      </c>
      <c r="C999" s="1">
        <f>LN(dane_7[[#This Row],[Dane wejściowe posortowane]])</f>
        <v>6.0065994346922524</v>
      </c>
      <c r="D999" s="1">
        <v>998</v>
      </c>
      <c r="G999" s="1">
        <f>dane_7[[#This Row],[Nr próbki]]/($G$1+1)</f>
        <v>0.99700299700299699</v>
      </c>
      <c r="H999" s="1">
        <f>(dane_7[[#This Row],[Logarytm naturalny]]-$I$2)/$J$2</f>
        <v>1.9110650499646962</v>
      </c>
      <c r="M999" s="1">
        <f t="shared" si="15"/>
        <v>0.97200188906421592</v>
      </c>
    </row>
    <row r="1000" spans="1:13" x14ac:dyDescent="0.25">
      <c r="A1000" s="1">
        <v>406.1</v>
      </c>
      <c r="B1000" s="1">
        <v>406.1</v>
      </c>
      <c r="C1000" s="1">
        <f>LN(dane_7[[#This Row],[Dane wejściowe posortowane]])</f>
        <v>6.0065994346922524</v>
      </c>
      <c r="D1000" s="1">
        <v>999</v>
      </c>
      <c r="G1000" s="1">
        <f>dane_7[[#This Row],[Nr próbki]]/($G$1+1)</f>
        <v>0.99800199800199796</v>
      </c>
      <c r="H1000" s="1">
        <f>(dane_7[[#This Row],[Logarytm naturalny]]-$I$2)/$J$2</f>
        <v>1.9110650499646962</v>
      </c>
      <c r="M1000" s="1">
        <f t="shared" si="15"/>
        <v>0.97200188906421592</v>
      </c>
    </row>
    <row r="1001" spans="1:13" x14ac:dyDescent="0.25">
      <c r="A1001" s="1">
        <v>407.8</v>
      </c>
      <c r="B1001" s="1">
        <v>407.8</v>
      </c>
      <c r="C1001" s="1">
        <f>LN(dane_7[[#This Row],[Dane wejściowe posortowane]])</f>
        <v>6.0107768581403551</v>
      </c>
      <c r="D1001" s="1">
        <v>1000</v>
      </c>
      <c r="G1001" s="1">
        <f>dane_7[[#This Row],[Nr próbki]]/($G$1+1)</f>
        <v>0.99900099900099903</v>
      </c>
      <c r="H1001" s="1">
        <f>(dane_7[[#This Row],[Logarytm naturalny]]-$I$2)/$J$2</f>
        <v>2.486305832860253</v>
      </c>
      <c r="M1001" s="1">
        <f t="shared" si="15"/>
        <v>0.99354615074399832</v>
      </c>
    </row>
    <row r="1002" spans="1:13" x14ac:dyDescent="0.25">
      <c r="C1002" s="1" t="e">
        <f>LN(dane_7[[#This Row],[Dane wejściowe posortowane]])</f>
        <v>#NUM!</v>
      </c>
      <c r="D1002" s="1">
        <v>1001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49B57F-3099-46F9-8286-CECEF02BE4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2022-01-30T11:50:04Z</dcterms:modified>
</cp:coreProperties>
</file>