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udwiczak/Projects/MPwI/Zad5/"/>
    </mc:Choice>
  </mc:AlternateContent>
  <xr:revisionPtr revIDLastSave="0" documentId="13_ncr:1_{0D9720C1-7CF9-8440-A693-6C71439AB181}" xr6:coauthVersionLast="47" xr6:coauthVersionMax="47" xr10:uidLastSave="{00000000-0000-0000-0000-000000000000}"/>
  <bookViews>
    <workbookView xWindow="0" yWindow="0" windowWidth="33600" windowHeight="21000" xr2:uid="{9A6EEB2D-8B60-544A-B7DC-3C0B3B025B0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G10" i="1" s="1"/>
  <c r="L2" i="1"/>
  <c r="G4" i="1" s="1"/>
  <c r="L1" i="1"/>
  <c r="P2" i="1"/>
  <c r="P3" i="1"/>
  <c r="O3" i="1"/>
  <c r="O2" i="1"/>
  <c r="G2" i="1"/>
  <c r="G3" i="1"/>
  <c r="G6" i="1"/>
  <c r="G7" i="1"/>
  <c r="G8" i="1"/>
  <c r="G11" i="1"/>
  <c r="G12" i="1"/>
  <c r="G14" i="1"/>
  <c r="G15" i="1"/>
  <c r="G16" i="1"/>
  <c r="G18" i="1"/>
  <c r="G19" i="1"/>
  <c r="G20" i="1"/>
  <c r="G22" i="1"/>
  <c r="G23" i="1"/>
  <c r="G24" i="1"/>
  <c r="G26" i="1"/>
  <c r="G27" i="1"/>
  <c r="G28" i="1"/>
  <c r="G30" i="1"/>
  <c r="G31" i="1"/>
  <c r="G3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33" i="1" l="1"/>
  <c r="G29" i="1"/>
  <c r="G25" i="1"/>
  <c r="G21" i="1"/>
  <c r="G17" i="1"/>
  <c r="G13" i="1"/>
  <c r="G9" i="1"/>
  <c r="G5" i="1"/>
  <c r="E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E68" i="1" l="1"/>
  <c r="E60" i="1"/>
  <c r="E52" i="1"/>
  <c r="E44" i="1"/>
  <c r="E36" i="1"/>
  <c r="E24" i="1"/>
  <c r="E16" i="1"/>
  <c r="E8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7" i="1"/>
  <c r="E3" i="1"/>
  <c r="E2" i="1"/>
  <c r="E64" i="1"/>
  <c r="E56" i="1"/>
  <c r="E48" i="1"/>
  <c r="E40" i="1"/>
  <c r="E32" i="1"/>
  <c r="E28" i="1"/>
  <c r="E20" i="1"/>
  <c r="E12" i="1"/>
  <c r="E4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E6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F56" i="1"/>
  <c r="F17" i="1" l="1"/>
  <c r="F33" i="1"/>
  <c r="F49" i="1"/>
  <c r="F65" i="1"/>
  <c r="F24" i="1"/>
  <c r="F60" i="1"/>
  <c r="F14" i="1"/>
  <c r="F30" i="1"/>
  <c r="F46" i="1"/>
  <c r="F62" i="1"/>
  <c r="F16" i="1"/>
  <c r="F3" i="1"/>
  <c r="F15" i="1"/>
  <c r="F27" i="1"/>
  <c r="F39" i="1"/>
  <c r="F51" i="1"/>
  <c r="F63" i="1"/>
  <c r="F7" i="1"/>
  <c r="F23" i="1"/>
  <c r="F35" i="1"/>
  <c r="F43" i="1"/>
  <c r="F59" i="1"/>
  <c r="F71" i="1"/>
  <c r="F11" i="1"/>
  <c r="F19" i="1"/>
  <c r="F31" i="1"/>
  <c r="F47" i="1"/>
  <c r="F55" i="1"/>
  <c r="F67" i="1"/>
  <c r="F5" i="1"/>
  <c r="F21" i="1"/>
  <c r="F37" i="1"/>
  <c r="F53" i="1"/>
  <c r="F69" i="1"/>
  <c r="F32" i="1"/>
  <c r="F68" i="1"/>
  <c r="F18" i="1"/>
  <c r="F34" i="1"/>
  <c r="F50" i="1"/>
  <c r="F66" i="1"/>
  <c r="F28" i="1"/>
  <c r="F64" i="1"/>
  <c r="F9" i="1"/>
  <c r="F25" i="1"/>
  <c r="F41" i="1"/>
  <c r="F57" i="1"/>
  <c r="F8" i="1"/>
  <c r="F44" i="1"/>
  <c r="F6" i="1"/>
  <c r="F22" i="1"/>
  <c r="F38" i="1"/>
  <c r="F54" i="1"/>
  <c r="F70" i="1"/>
  <c r="F36" i="1"/>
  <c r="F40" i="1"/>
  <c r="F2" i="1"/>
  <c r="F13" i="1"/>
  <c r="F29" i="1"/>
  <c r="F45" i="1"/>
  <c r="F61" i="1"/>
  <c r="F12" i="1"/>
  <c r="F52" i="1"/>
  <c r="F10" i="1"/>
  <c r="F26" i="1"/>
  <c r="F42" i="1"/>
  <c r="F58" i="1"/>
  <c r="F4" i="1"/>
  <c r="F48" i="1"/>
  <c r="F20" i="1"/>
</calcChain>
</file>

<file path=xl/sharedStrings.xml><?xml version="1.0" encoding="utf-8"?>
<sst xmlns="http://schemas.openxmlformats.org/spreadsheetml/2006/main" count="14" uniqueCount="14">
  <si>
    <t>Nr.</t>
  </si>
  <si>
    <t>Dane wejściowe</t>
  </si>
  <si>
    <t>Dane posortowane</t>
  </si>
  <si>
    <t>Log naturalny</t>
  </si>
  <si>
    <t xml:space="preserve">Liczność = </t>
  </si>
  <si>
    <t>Prawdopodobienstwo skumulowane</t>
  </si>
  <si>
    <t>Wartość średnia =</t>
  </si>
  <si>
    <t xml:space="preserve">Odchylenie standardowe = </t>
  </si>
  <si>
    <t>Wartości skumulowane</t>
  </si>
  <si>
    <t>mi</t>
  </si>
  <si>
    <t>sigma</t>
  </si>
  <si>
    <t>Graficzna</t>
  </si>
  <si>
    <t>Punktowa</t>
  </si>
  <si>
    <t>Dystrybuanta teoretyczna rozkładu logarytmowanego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</si>
</sst>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</cellXfs>
  <cellStyles count="1">
    <cellStyle name="Normalny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Prawdopodobieństwo</a:t>
            </a:r>
            <a:r>
              <a:rPr lang="en-US" baseline="0"/>
              <a:t> skumulowane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Log(x)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Arkusz1!$D$2:$D$71</c:f>
              <c:numCache>
                <c:formatCode>General</c:formatCode>
                <c:ptCount val="70"/>
                <c:pt idx="0">
                  <c:v>-1.6820086052689358</c:v>
                </c:pt>
                <c:pt idx="1">
                  <c:v>-1.6820086052689358</c:v>
                </c:pt>
                <c:pt idx="2">
                  <c:v>-1.6766466621275504</c:v>
                </c:pt>
                <c:pt idx="3">
                  <c:v>-1.6766466621275504</c:v>
                </c:pt>
                <c:pt idx="4">
                  <c:v>-1.6766466621275504</c:v>
                </c:pt>
                <c:pt idx="5">
                  <c:v>-1.6766466621275504</c:v>
                </c:pt>
                <c:pt idx="6">
                  <c:v>-1.6766466621275504</c:v>
                </c:pt>
                <c:pt idx="7">
                  <c:v>-1.6766466621275504</c:v>
                </c:pt>
                <c:pt idx="8">
                  <c:v>-1.6713133161521878</c:v>
                </c:pt>
                <c:pt idx="9">
                  <c:v>-1.6713133161521878</c:v>
                </c:pt>
                <c:pt idx="10">
                  <c:v>-1.6713133161521878</c:v>
                </c:pt>
                <c:pt idx="11">
                  <c:v>-1.6713133161521878</c:v>
                </c:pt>
                <c:pt idx="12">
                  <c:v>-1.6713133161521878</c:v>
                </c:pt>
                <c:pt idx="13">
                  <c:v>-1.6713133161521878</c:v>
                </c:pt>
                <c:pt idx="14">
                  <c:v>-1.6660082639224947</c:v>
                </c:pt>
                <c:pt idx="15">
                  <c:v>-1.6660082639224947</c:v>
                </c:pt>
                <c:pt idx="16">
                  <c:v>-1.6660082639224947</c:v>
                </c:pt>
                <c:pt idx="17">
                  <c:v>-1.6660082639224947</c:v>
                </c:pt>
                <c:pt idx="18">
                  <c:v>-1.6660082639224947</c:v>
                </c:pt>
                <c:pt idx="19">
                  <c:v>-1.6660082639224947</c:v>
                </c:pt>
                <c:pt idx="20">
                  <c:v>-1.6660082639224947</c:v>
                </c:pt>
                <c:pt idx="21">
                  <c:v>-1.6660082639224947</c:v>
                </c:pt>
                <c:pt idx="22">
                  <c:v>-1.6660082639224947</c:v>
                </c:pt>
                <c:pt idx="23">
                  <c:v>-1.6660082639224947</c:v>
                </c:pt>
                <c:pt idx="24">
                  <c:v>-1.6660082639224947</c:v>
                </c:pt>
                <c:pt idx="25">
                  <c:v>-1.6660082639224947</c:v>
                </c:pt>
                <c:pt idx="26">
                  <c:v>-1.6607312068216509</c:v>
                </c:pt>
                <c:pt idx="27">
                  <c:v>-1.6607312068216509</c:v>
                </c:pt>
                <c:pt idx="28">
                  <c:v>-1.6607312068216509</c:v>
                </c:pt>
                <c:pt idx="29">
                  <c:v>-1.6607312068216509</c:v>
                </c:pt>
                <c:pt idx="30">
                  <c:v>-1.6607312068216509</c:v>
                </c:pt>
                <c:pt idx="31">
                  <c:v>-1.6607312068216509</c:v>
                </c:pt>
                <c:pt idx="32">
                  <c:v>-1.6607312068216509</c:v>
                </c:pt>
                <c:pt idx="33">
                  <c:v>-1.6607312068216509</c:v>
                </c:pt>
                <c:pt idx="34">
                  <c:v>-1.6607312068216509</c:v>
                </c:pt>
                <c:pt idx="35">
                  <c:v>-1.6607312068216509</c:v>
                </c:pt>
                <c:pt idx="36">
                  <c:v>-1.6607312068216509</c:v>
                </c:pt>
                <c:pt idx="37">
                  <c:v>-1.6607312068216509</c:v>
                </c:pt>
                <c:pt idx="38">
                  <c:v>-1.6607312068216509</c:v>
                </c:pt>
                <c:pt idx="39">
                  <c:v>-1.6607312068216509</c:v>
                </c:pt>
                <c:pt idx="40">
                  <c:v>-1.6554818509355071</c:v>
                </c:pt>
                <c:pt idx="41">
                  <c:v>-1.6554818509355071</c:v>
                </c:pt>
                <c:pt idx="42">
                  <c:v>-1.6554818509355071</c:v>
                </c:pt>
                <c:pt idx="43">
                  <c:v>-1.6554818509355071</c:v>
                </c:pt>
                <c:pt idx="44">
                  <c:v>-1.6554818509355071</c:v>
                </c:pt>
                <c:pt idx="45">
                  <c:v>-1.6554818509355071</c:v>
                </c:pt>
                <c:pt idx="46">
                  <c:v>-1.6554818509355071</c:v>
                </c:pt>
                <c:pt idx="47">
                  <c:v>-1.6554818509355071</c:v>
                </c:pt>
                <c:pt idx="48">
                  <c:v>-1.6554818509355071</c:v>
                </c:pt>
                <c:pt idx="49">
                  <c:v>-1.6554818509355071</c:v>
                </c:pt>
                <c:pt idx="50">
                  <c:v>-1.6554818509355071</c:v>
                </c:pt>
                <c:pt idx="51">
                  <c:v>-1.6554818509355071</c:v>
                </c:pt>
                <c:pt idx="52">
                  <c:v>-1.6554818509355071</c:v>
                </c:pt>
                <c:pt idx="53">
                  <c:v>-1.6502599069543555</c:v>
                </c:pt>
                <c:pt idx="54">
                  <c:v>-1.6502599069543555</c:v>
                </c:pt>
                <c:pt idx="55">
                  <c:v>-1.6502599069543555</c:v>
                </c:pt>
                <c:pt idx="56">
                  <c:v>-1.6502599069543555</c:v>
                </c:pt>
                <c:pt idx="57">
                  <c:v>-1.6502599069543555</c:v>
                </c:pt>
                <c:pt idx="58">
                  <c:v>-1.6502599069543555</c:v>
                </c:pt>
                <c:pt idx="59">
                  <c:v>-1.6502599069543555</c:v>
                </c:pt>
                <c:pt idx="60">
                  <c:v>-1.6502599069543555</c:v>
                </c:pt>
                <c:pt idx="61">
                  <c:v>-1.6450650900772514</c:v>
                </c:pt>
                <c:pt idx="62">
                  <c:v>-1.6450650900772514</c:v>
                </c:pt>
                <c:pt idx="63">
                  <c:v>-1.6450650900772514</c:v>
                </c:pt>
                <c:pt idx="64">
                  <c:v>-1.6450650900772514</c:v>
                </c:pt>
                <c:pt idx="65">
                  <c:v>-1.6450650900772514</c:v>
                </c:pt>
                <c:pt idx="66">
                  <c:v>-1.6398971199188088</c:v>
                </c:pt>
                <c:pt idx="67">
                  <c:v>-1.6398971199188088</c:v>
                </c:pt>
                <c:pt idx="68">
                  <c:v>-1.6398971199188088</c:v>
                </c:pt>
                <c:pt idx="69">
                  <c:v>-1.6398971199188088</c:v>
                </c:pt>
              </c:numCache>
            </c:numRef>
          </c:xVal>
          <c:yVal>
            <c:numRef>
              <c:f>Arkusz1!$E$2:$E$71</c:f>
              <c:numCache>
                <c:formatCode>General</c:formatCode>
                <c:ptCount val="70"/>
                <c:pt idx="0">
                  <c:v>1.4084507042253521E-2</c:v>
                </c:pt>
                <c:pt idx="1">
                  <c:v>2.8169014084507043E-2</c:v>
                </c:pt>
                <c:pt idx="2">
                  <c:v>4.2253521126760563E-2</c:v>
                </c:pt>
                <c:pt idx="3">
                  <c:v>5.6338028169014086E-2</c:v>
                </c:pt>
                <c:pt idx="4">
                  <c:v>7.0422535211267609E-2</c:v>
                </c:pt>
                <c:pt idx="5">
                  <c:v>8.4507042253521125E-2</c:v>
                </c:pt>
                <c:pt idx="6">
                  <c:v>9.8591549295774641E-2</c:v>
                </c:pt>
                <c:pt idx="7">
                  <c:v>0.11267605633802817</c:v>
                </c:pt>
                <c:pt idx="8">
                  <c:v>0.12676056338028169</c:v>
                </c:pt>
                <c:pt idx="9">
                  <c:v>0.14084507042253522</c:v>
                </c:pt>
                <c:pt idx="10">
                  <c:v>0.15492957746478872</c:v>
                </c:pt>
                <c:pt idx="11">
                  <c:v>0.16901408450704225</c:v>
                </c:pt>
                <c:pt idx="12">
                  <c:v>0.18309859154929578</c:v>
                </c:pt>
                <c:pt idx="13">
                  <c:v>0.19718309859154928</c:v>
                </c:pt>
                <c:pt idx="14">
                  <c:v>0.21126760563380281</c:v>
                </c:pt>
                <c:pt idx="15">
                  <c:v>0.22535211267605634</c:v>
                </c:pt>
                <c:pt idx="16">
                  <c:v>0.23943661971830985</c:v>
                </c:pt>
                <c:pt idx="17">
                  <c:v>0.25352112676056338</c:v>
                </c:pt>
                <c:pt idx="18">
                  <c:v>0.26760563380281688</c:v>
                </c:pt>
                <c:pt idx="19">
                  <c:v>0.28169014084507044</c:v>
                </c:pt>
                <c:pt idx="20">
                  <c:v>0.29577464788732394</c:v>
                </c:pt>
                <c:pt idx="21">
                  <c:v>0.30985915492957744</c:v>
                </c:pt>
                <c:pt idx="22">
                  <c:v>0.323943661971831</c:v>
                </c:pt>
                <c:pt idx="23">
                  <c:v>0.3380281690140845</c:v>
                </c:pt>
                <c:pt idx="24">
                  <c:v>0.352112676056338</c:v>
                </c:pt>
                <c:pt idx="25">
                  <c:v>0.36619718309859156</c:v>
                </c:pt>
                <c:pt idx="26">
                  <c:v>0.38028169014084506</c:v>
                </c:pt>
                <c:pt idx="27">
                  <c:v>0.39436619718309857</c:v>
                </c:pt>
                <c:pt idx="28">
                  <c:v>0.40845070422535212</c:v>
                </c:pt>
                <c:pt idx="29">
                  <c:v>0.42253521126760563</c:v>
                </c:pt>
                <c:pt idx="30">
                  <c:v>0.43661971830985913</c:v>
                </c:pt>
                <c:pt idx="31">
                  <c:v>0.45070422535211269</c:v>
                </c:pt>
                <c:pt idx="32">
                  <c:v>0.46478873239436619</c:v>
                </c:pt>
                <c:pt idx="33">
                  <c:v>0.47887323943661969</c:v>
                </c:pt>
                <c:pt idx="34">
                  <c:v>0.49295774647887325</c:v>
                </c:pt>
                <c:pt idx="35">
                  <c:v>0.50704225352112675</c:v>
                </c:pt>
                <c:pt idx="36">
                  <c:v>0.52112676056338025</c:v>
                </c:pt>
                <c:pt idx="37">
                  <c:v>0.53521126760563376</c:v>
                </c:pt>
                <c:pt idx="38">
                  <c:v>0.54929577464788737</c:v>
                </c:pt>
                <c:pt idx="39">
                  <c:v>0.56338028169014087</c:v>
                </c:pt>
                <c:pt idx="40">
                  <c:v>0.57746478873239437</c:v>
                </c:pt>
                <c:pt idx="41">
                  <c:v>0.59154929577464788</c:v>
                </c:pt>
                <c:pt idx="42">
                  <c:v>0.60563380281690138</c:v>
                </c:pt>
                <c:pt idx="43">
                  <c:v>0.61971830985915488</c:v>
                </c:pt>
                <c:pt idx="44">
                  <c:v>0.63380281690140849</c:v>
                </c:pt>
                <c:pt idx="45">
                  <c:v>0.647887323943662</c:v>
                </c:pt>
                <c:pt idx="46">
                  <c:v>0.6619718309859155</c:v>
                </c:pt>
                <c:pt idx="47">
                  <c:v>0.676056338028169</c:v>
                </c:pt>
                <c:pt idx="48">
                  <c:v>0.6901408450704225</c:v>
                </c:pt>
                <c:pt idx="49">
                  <c:v>0.70422535211267601</c:v>
                </c:pt>
                <c:pt idx="50">
                  <c:v>0.71830985915492962</c:v>
                </c:pt>
                <c:pt idx="51">
                  <c:v>0.73239436619718312</c:v>
                </c:pt>
                <c:pt idx="52">
                  <c:v>0.74647887323943662</c:v>
                </c:pt>
                <c:pt idx="53">
                  <c:v>0.76056338028169013</c:v>
                </c:pt>
                <c:pt idx="54">
                  <c:v>0.77464788732394363</c:v>
                </c:pt>
                <c:pt idx="55">
                  <c:v>0.78873239436619713</c:v>
                </c:pt>
                <c:pt idx="56">
                  <c:v>0.80281690140845074</c:v>
                </c:pt>
                <c:pt idx="57">
                  <c:v>0.81690140845070425</c:v>
                </c:pt>
                <c:pt idx="58">
                  <c:v>0.83098591549295775</c:v>
                </c:pt>
                <c:pt idx="59">
                  <c:v>0.84507042253521125</c:v>
                </c:pt>
                <c:pt idx="60">
                  <c:v>0.85915492957746475</c:v>
                </c:pt>
                <c:pt idx="61">
                  <c:v>0.87323943661971826</c:v>
                </c:pt>
                <c:pt idx="62">
                  <c:v>0.88732394366197187</c:v>
                </c:pt>
                <c:pt idx="63">
                  <c:v>0.90140845070422537</c:v>
                </c:pt>
                <c:pt idx="64">
                  <c:v>0.91549295774647887</c:v>
                </c:pt>
                <c:pt idx="65">
                  <c:v>0.92957746478873238</c:v>
                </c:pt>
                <c:pt idx="66">
                  <c:v>0.94366197183098588</c:v>
                </c:pt>
                <c:pt idx="67">
                  <c:v>0.95774647887323938</c:v>
                </c:pt>
                <c:pt idx="68">
                  <c:v>0.971830985915493</c:v>
                </c:pt>
                <c:pt idx="69">
                  <c:v>0.9859154929577465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A-A140-816B-A5193303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386960"/>
        <c:axId val="1170388608"/>
      </c:scatterChart>
      <c:valAx>
        <c:axId val="117038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Logarytm naturalny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0388608"/>
        <c:crosses val="autoZero"/>
        <c:crossBetween val="midCat"/>
      </c:valAx>
      <c:valAx>
        <c:axId val="11703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Prawdopodobieństwo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038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ln(x)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Arkusz1!$D$2:$D$71</c:f>
              <c:numCache>
                <c:formatCode>General</c:formatCode>
                <c:ptCount val="70"/>
                <c:pt idx="0">
                  <c:v>-1.6820086052689358</c:v>
                </c:pt>
                <c:pt idx="1">
                  <c:v>-1.6820086052689358</c:v>
                </c:pt>
                <c:pt idx="2">
                  <c:v>-1.6766466621275504</c:v>
                </c:pt>
                <c:pt idx="3">
                  <c:v>-1.6766466621275504</c:v>
                </c:pt>
                <c:pt idx="4">
                  <c:v>-1.6766466621275504</c:v>
                </c:pt>
                <c:pt idx="5">
                  <c:v>-1.6766466621275504</c:v>
                </c:pt>
                <c:pt idx="6">
                  <c:v>-1.6766466621275504</c:v>
                </c:pt>
                <c:pt idx="7">
                  <c:v>-1.6766466621275504</c:v>
                </c:pt>
                <c:pt idx="8">
                  <c:v>-1.6713133161521878</c:v>
                </c:pt>
                <c:pt idx="9">
                  <c:v>-1.6713133161521878</c:v>
                </c:pt>
                <c:pt idx="10">
                  <c:v>-1.6713133161521878</c:v>
                </c:pt>
                <c:pt idx="11">
                  <c:v>-1.6713133161521878</c:v>
                </c:pt>
                <c:pt idx="12">
                  <c:v>-1.6713133161521878</c:v>
                </c:pt>
                <c:pt idx="13">
                  <c:v>-1.6713133161521878</c:v>
                </c:pt>
                <c:pt idx="14">
                  <c:v>-1.6660082639224947</c:v>
                </c:pt>
                <c:pt idx="15">
                  <c:v>-1.6660082639224947</c:v>
                </c:pt>
                <c:pt idx="16">
                  <c:v>-1.6660082639224947</c:v>
                </c:pt>
                <c:pt idx="17">
                  <c:v>-1.6660082639224947</c:v>
                </c:pt>
                <c:pt idx="18">
                  <c:v>-1.6660082639224947</c:v>
                </c:pt>
                <c:pt idx="19">
                  <c:v>-1.6660082639224947</c:v>
                </c:pt>
                <c:pt idx="20">
                  <c:v>-1.6660082639224947</c:v>
                </c:pt>
                <c:pt idx="21">
                  <c:v>-1.6660082639224947</c:v>
                </c:pt>
                <c:pt idx="22">
                  <c:v>-1.6660082639224947</c:v>
                </c:pt>
                <c:pt idx="23">
                  <c:v>-1.6660082639224947</c:v>
                </c:pt>
                <c:pt idx="24">
                  <c:v>-1.6660082639224947</c:v>
                </c:pt>
                <c:pt idx="25">
                  <c:v>-1.6660082639224947</c:v>
                </c:pt>
                <c:pt idx="26">
                  <c:v>-1.6607312068216509</c:v>
                </c:pt>
                <c:pt idx="27">
                  <c:v>-1.6607312068216509</c:v>
                </c:pt>
                <c:pt idx="28">
                  <c:v>-1.6607312068216509</c:v>
                </c:pt>
                <c:pt idx="29">
                  <c:v>-1.6607312068216509</c:v>
                </c:pt>
                <c:pt idx="30">
                  <c:v>-1.6607312068216509</c:v>
                </c:pt>
                <c:pt idx="31">
                  <c:v>-1.6607312068216509</c:v>
                </c:pt>
                <c:pt idx="32">
                  <c:v>-1.6607312068216509</c:v>
                </c:pt>
                <c:pt idx="33">
                  <c:v>-1.6607312068216509</c:v>
                </c:pt>
                <c:pt idx="34">
                  <c:v>-1.6607312068216509</c:v>
                </c:pt>
                <c:pt idx="35">
                  <c:v>-1.6607312068216509</c:v>
                </c:pt>
                <c:pt idx="36">
                  <c:v>-1.6607312068216509</c:v>
                </c:pt>
                <c:pt idx="37">
                  <c:v>-1.6607312068216509</c:v>
                </c:pt>
                <c:pt idx="38">
                  <c:v>-1.6607312068216509</c:v>
                </c:pt>
                <c:pt idx="39">
                  <c:v>-1.6607312068216509</c:v>
                </c:pt>
                <c:pt idx="40">
                  <c:v>-1.6554818509355071</c:v>
                </c:pt>
                <c:pt idx="41">
                  <c:v>-1.6554818509355071</c:v>
                </c:pt>
                <c:pt idx="42">
                  <c:v>-1.6554818509355071</c:v>
                </c:pt>
                <c:pt idx="43">
                  <c:v>-1.6554818509355071</c:v>
                </c:pt>
                <c:pt idx="44">
                  <c:v>-1.6554818509355071</c:v>
                </c:pt>
                <c:pt idx="45">
                  <c:v>-1.6554818509355071</c:v>
                </c:pt>
                <c:pt idx="46">
                  <c:v>-1.6554818509355071</c:v>
                </c:pt>
                <c:pt idx="47">
                  <c:v>-1.6554818509355071</c:v>
                </c:pt>
                <c:pt idx="48">
                  <c:v>-1.6554818509355071</c:v>
                </c:pt>
                <c:pt idx="49">
                  <c:v>-1.6554818509355071</c:v>
                </c:pt>
                <c:pt idx="50">
                  <c:v>-1.6554818509355071</c:v>
                </c:pt>
                <c:pt idx="51">
                  <c:v>-1.6554818509355071</c:v>
                </c:pt>
                <c:pt idx="52">
                  <c:v>-1.6554818509355071</c:v>
                </c:pt>
                <c:pt idx="53">
                  <c:v>-1.6502599069543555</c:v>
                </c:pt>
                <c:pt idx="54">
                  <c:v>-1.6502599069543555</c:v>
                </c:pt>
                <c:pt idx="55">
                  <c:v>-1.6502599069543555</c:v>
                </c:pt>
                <c:pt idx="56">
                  <c:v>-1.6502599069543555</c:v>
                </c:pt>
                <c:pt idx="57">
                  <c:v>-1.6502599069543555</c:v>
                </c:pt>
                <c:pt idx="58">
                  <c:v>-1.6502599069543555</c:v>
                </c:pt>
                <c:pt idx="59">
                  <c:v>-1.6502599069543555</c:v>
                </c:pt>
                <c:pt idx="60">
                  <c:v>-1.6502599069543555</c:v>
                </c:pt>
                <c:pt idx="61">
                  <c:v>-1.6450650900772514</c:v>
                </c:pt>
                <c:pt idx="62">
                  <c:v>-1.6450650900772514</c:v>
                </c:pt>
                <c:pt idx="63">
                  <c:v>-1.6450650900772514</c:v>
                </c:pt>
                <c:pt idx="64">
                  <c:v>-1.6450650900772514</c:v>
                </c:pt>
                <c:pt idx="65">
                  <c:v>-1.6450650900772514</c:v>
                </c:pt>
                <c:pt idx="66">
                  <c:v>-1.6398971199188088</c:v>
                </c:pt>
                <c:pt idx="67">
                  <c:v>-1.6398971199188088</c:v>
                </c:pt>
                <c:pt idx="68">
                  <c:v>-1.6398971199188088</c:v>
                </c:pt>
                <c:pt idx="69">
                  <c:v>-1.6398971199188088</c:v>
                </c:pt>
              </c:numCache>
            </c:numRef>
          </c:xVal>
          <c:yVal>
            <c:numRef>
              <c:f>Arkusz1!$F$2:$F$71</c:f>
              <c:numCache>
                <c:formatCode>General</c:formatCode>
                <c:ptCount val="70"/>
                <c:pt idx="0">
                  <c:v>-2.0943732904931682</c:v>
                </c:pt>
                <c:pt idx="1">
                  <c:v>-2.0943732904931682</c:v>
                </c:pt>
                <c:pt idx="2">
                  <c:v>-1.5833361087260647</c:v>
                </c:pt>
                <c:pt idx="3">
                  <c:v>-1.5833361087260647</c:v>
                </c:pt>
                <c:pt idx="4">
                  <c:v>-1.5833361087260647</c:v>
                </c:pt>
                <c:pt idx="5">
                  <c:v>-1.5833361087260647</c:v>
                </c:pt>
                <c:pt idx="6">
                  <c:v>-1.5833361087260647</c:v>
                </c:pt>
                <c:pt idx="7">
                  <c:v>-1.5833361087260647</c:v>
                </c:pt>
                <c:pt idx="8">
                  <c:v>-1.0750244715508097</c:v>
                </c:pt>
                <c:pt idx="9">
                  <c:v>-1.0750244715508097</c:v>
                </c:pt>
                <c:pt idx="10">
                  <c:v>-1.0750244715508097</c:v>
                </c:pt>
                <c:pt idx="11">
                  <c:v>-1.0750244715508097</c:v>
                </c:pt>
                <c:pt idx="12">
                  <c:v>-1.0750244715508097</c:v>
                </c:pt>
                <c:pt idx="13">
                  <c:v>-1.0750244715508097</c:v>
                </c:pt>
                <c:pt idx="14">
                  <c:v>-0.56940946051785157</c:v>
                </c:pt>
                <c:pt idx="15">
                  <c:v>-0.56940946051785157</c:v>
                </c:pt>
                <c:pt idx="16">
                  <c:v>-0.56940946051785157</c:v>
                </c:pt>
                <c:pt idx="17">
                  <c:v>-0.56940946051785157</c:v>
                </c:pt>
                <c:pt idx="18">
                  <c:v>-0.56940946051785157</c:v>
                </c:pt>
                <c:pt idx="19">
                  <c:v>-0.56940946051785157</c:v>
                </c:pt>
                <c:pt idx="20">
                  <c:v>-0.56940946051785157</c:v>
                </c:pt>
                <c:pt idx="21">
                  <c:v>-0.56940946051785157</c:v>
                </c:pt>
                <c:pt idx="22">
                  <c:v>-0.56940946051785157</c:v>
                </c:pt>
                <c:pt idx="23">
                  <c:v>-0.56940946051785157</c:v>
                </c:pt>
                <c:pt idx="24">
                  <c:v>-0.56940946051785157</c:v>
                </c:pt>
                <c:pt idx="25">
                  <c:v>-0.56940946051785157</c:v>
                </c:pt>
                <c:pt idx="26">
                  <c:v>-6.6462614993763006E-2</c:v>
                </c:pt>
                <c:pt idx="27">
                  <c:v>-6.6462614993763006E-2</c:v>
                </c:pt>
                <c:pt idx="28">
                  <c:v>-6.6462614993763006E-2</c:v>
                </c:pt>
                <c:pt idx="29">
                  <c:v>-6.6462614993763006E-2</c:v>
                </c:pt>
                <c:pt idx="30">
                  <c:v>-6.6462614993763006E-2</c:v>
                </c:pt>
                <c:pt idx="31">
                  <c:v>-6.6462614993763006E-2</c:v>
                </c:pt>
                <c:pt idx="32">
                  <c:v>-6.6462614993763006E-2</c:v>
                </c:pt>
                <c:pt idx="33">
                  <c:v>-6.6462614993763006E-2</c:v>
                </c:pt>
                <c:pt idx="34">
                  <c:v>-6.6462614993763006E-2</c:v>
                </c:pt>
                <c:pt idx="35">
                  <c:v>-6.6462614993763006E-2</c:v>
                </c:pt>
                <c:pt idx="36">
                  <c:v>-6.6462614993763006E-2</c:v>
                </c:pt>
                <c:pt idx="37">
                  <c:v>-6.6462614993763006E-2</c:v>
                </c:pt>
                <c:pt idx="38">
                  <c:v>-6.6462614993763006E-2</c:v>
                </c:pt>
                <c:pt idx="39">
                  <c:v>-6.6462614993763006E-2</c:v>
                </c:pt>
                <c:pt idx="40">
                  <c:v>0.43384407745175374</c:v>
                </c:pt>
                <c:pt idx="41">
                  <c:v>0.43384407745175374</c:v>
                </c:pt>
                <c:pt idx="42">
                  <c:v>0.43384407745175374</c:v>
                </c:pt>
                <c:pt idx="43">
                  <c:v>0.43384407745175374</c:v>
                </c:pt>
                <c:pt idx="44">
                  <c:v>0.43384407745175374</c:v>
                </c:pt>
                <c:pt idx="45">
                  <c:v>0.43384407745175374</c:v>
                </c:pt>
                <c:pt idx="46">
                  <c:v>0.43384407745175374</c:v>
                </c:pt>
                <c:pt idx="47">
                  <c:v>0.43384407745175374</c:v>
                </c:pt>
                <c:pt idx="48">
                  <c:v>0.43384407745175374</c:v>
                </c:pt>
                <c:pt idx="49">
                  <c:v>0.43384407745175374</c:v>
                </c:pt>
                <c:pt idx="50">
                  <c:v>0.43384407745175374</c:v>
                </c:pt>
                <c:pt idx="51">
                  <c:v>0.43384407745175374</c:v>
                </c:pt>
                <c:pt idx="52">
                  <c:v>0.43384407745175374</c:v>
                </c:pt>
                <c:pt idx="53">
                  <c:v>0.93153819040795904</c:v>
                </c:pt>
                <c:pt idx="54">
                  <c:v>0.93153819040795904</c:v>
                </c:pt>
                <c:pt idx="55">
                  <c:v>0.93153819040795904</c:v>
                </c:pt>
                <c:pt idx="56">
                  <c:v>0.93153819040795904</c:v>
                </c:pt>
                <c:pt idx="57">
                  <c:v>0.93153819040795904</c:v>
                </c:pt>
                <c:pt idx="58">
                  <c:v>0.93153819040795904</c:v>
                </c:pt>
                <c:pt idx="59">
                  <c:v>0.93153819040795904</c:v>
                </c:pt>
                <c:pt idx="60">
                  <c:v>0.93153819040795904</c:v>
                </c:pt>
                <c:pt idx="61">
                  <c:v>1.4266468677419657</c:v>
                </c:pt>
                <c:pt idx="62">
                  <c:v>1.4266468677419657</c:v>
                </c:pt>
                <c:pt idx="63">
                  <c:v>1.4266468677419657</c:v>
                </c:pt>
                <c:pt idx="64">
                  <c:v>1.4266468677419657</c:v>
                </c:pt>
                <c:pt idx="65">
                  <c:v>1.4266468677419657</c:v>
                </c:pt>
                <c:pt idx="66">
                  <c:v>1.9191968324819189</c:v>
                </c:pt>
                <c:pt idx="67">
                  <c:v>1.9191968324819189</c:v>
                </c:pt>
                <c:pt idx="68">
                  <c:v>1.9191968324819189</c:v>
                </c:pt>
                <c:pt idx="69">
                  <c:v>1.9191968324819189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BD-1F40-BB43-96B882C64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249808"/>
        <c:axId val="1133768128"/>
      </c:scatterChart>
      <c:valAx>
        <c:axId val="117024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3768128"/>
        <c:crosses val="autoZero"/>
        <c:crossBetween val="midCat"/>
      </c:valAx>
      <c:valAx>
        <c:axId val="11337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024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Arkusz1!$C$2:$C$71</c:f>
              <c:numCache>
                <c:formatCode>General</c:formatCode>
                <c:ptCount val="70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xVal>
          <c:yVal>
            <c:numRef>
              <c:f>Arkusz1!$G$2:$G$71</c:f>
              <c:numCache>
                <c:formatCode>General</c:formatCode>
                <c:ptCount val="70"/>
                <c:pt idx="0">
                  <c:v>1.8113370079152601E-2</c:v>
                </c:pt>
                <c:pt idx="1">
                  <c:v>1.8113370079152601E-2</c:v>
                </c:pt>
                <c:pt idx="2">
                  <c:v>5.6672438485748149E-2</c:v>
                </c:pt>
                <c:pt idx="3">
                  <c:v>5.6672438485748149E-2</c:v>
                </c:pt>
                <c:pt idx="4">
                  <c:v>5.6672438485748149E-2</c:v>
                </c:pt>
                <c:pt idx="5">
                  <c:v>5.6672438485748149E-2</c:v>
                </c:pt>
                <c:pt idx="6">
                  <c:v>5.6672438485748149E-2</c:v>
                </c:pt>
                <c:pt idx="7">
                  <c:v>5.6672438485748149E-2</c:v>
                </c:pt>
                <c:pt idx="8">
                  <c:v>0.14118188612681659</c:v>
                </c:pt>
                <c:pt idx="9">
                  <c:v>0.14118188612681659</c:v>
                </c:pt>
                <c:pt idx="10">
                  <c:v>0.14118188612681659</c:v>
                </c:pt>
                <c:pt idx="11">
                  <c:v>0.14118188612681659</c:v>
                </c:pt>
                <c:pt idx="12">
                  <c:v>0.14118188612681659</c:v>
                </c:pt>
                <c:pt idx="13">
                  <c:v>0.14118188612681659</c:v>
                </c:pt>
                <c:pt idx="14">
                  <c:v>0.284539149040336</c:v>
                </c:pt>
                <c:pt idx="15">
                  <c:v>0.284539149040336</c:v>
                </c:pt>
                <c:pt idx="16">
                  <c:v>0.284539149040336</c:v>
                </c:pt>
                <c:pt idx="17">
                  <c:v>0.284539149040336</c:v>
                </c:pt>
                <c:pt idx="18">
                  <c:v>0.284539149040336</c:v>
                </c:pt>
                <c:pt idx="19">
                  <c:v>0.284539149040336</c:v>
                </c:pt>
                <c:pt idx="20">
                  <c:v>0.284539149040336</c:v>
                </c:pt>
                <c:pt idx="21">
                  <c:v>0.284539149040336</c:v>
                </c:pt>
                <c:pt idx="22">
                  <c:v>0.284539149040336</c:v>
                </c:pt>
                <c:pt idx="23">
                  <c:v>0.284539149040336</c:v>
                </c:pt>
                <c:pt idx="24">
                  <c:v>0.284539149040336</c:v>
                </c:pt>
                <c:pt idx="25">
                  <c:v>0.284539149040336</c:v>
                </c:pt>
                <c:pt idx="26">
                  <c:v>0.47350476039245271</c:v>
                </c:pt>
                <c:pt idx="27">
                  <c:v>0.47350476039245271</c:v>
                </c:pt>
                <c:pt idx="28">
                  <c:v>0.47350476039245271</c:v>
                </c:pt>
                <c:pt idx="29">
                  <c:v>0.47350476039245271</c:v>
                </c:pt>
                <c:pt idx="30">
                  <c:v>0.47350476039245271</c:v>
                </c:pt>
                <c:pt idx="31">
                  <c:v>0.47350476039245271</c:v>
                </c:pt>
                <c:pt idx="32">
                  <c:v>0.47350476039245271</c:v>
                </c:pt>
                <c:pt idx="33">
                  <c:v>0.47350476039245271</c:v>
                </c:pt>
                <c:pt idx="34">
                  <c:v>0.47350476039245271</c:v>
                </c:pt>
                <c:pt idx="35">
                  <c:v>0.47350476039245271</c:v>
                </c:pt>
                <c:pt idx="36">
                  <c:v>0.47350476039245271</c:v>
                </c:pt>
                <c:pt idx="37">
                  <c:v>0.47350476039245271</c:v>
                </c:pt>
                <c:pt idx="38">
                  <c:v>0.47350476039245271</c:v>
                </c:pt>
                <c:pt idx="39">
                  <c:v>0.47350476039245271</c:v>
                </c:pt>
                <c:pt idx="40">
                  <c:v>0.66779916431919584</c:v>
                </c:pt>
                <c:pt idx="41">
                  <c:v>0.66779916431919584</c:v>
                </c:pt>
                <c:pt idx="42">
                  <c:v>0.66779916431919584</c:v>
                </c:pt>
                <c:pt idx="43">
                  <c:v>0.66779916431919584</c:v>
                </c:pt>
                <c:pt idx="44">
                  <c:v>0.66779916431919584</c:v>
                </c:pt>
                <c:pt idx="45">
                  <c:v>0.66779916431919584</c:v>
                </c:pt>
                <c:pt idx="46">
                  <c:v>0.66779916431919584</c:v>
                </c:pt>
                <c:pt idx="47">
                  <c:v>0.66779916431919584</c:v>
                </c:pt>
                <c:pt idx="48">
                  <c:v>0.66779916431919584</c:v>
                </c:pt>
                <c:pt idx="49">
                  <c:v>0.66779916431919584</c:v>
                </c:pt>
                <c:pt idx="50">
                  <c:v>0.66779916431919584</c:v>
                </c:pt>
                <c:pt idx="51">
                  <c:v>0.66779916431919584</c:v>
                </c:pt>
                <c:pt idx="52">
                  <c:v>0.66779916431919584</c:v>
                </c:pt>
                <c:pt idx="53">
                  <c:v>0.82421238048606882</c:v>
                </c:pt>
                <c:pt idx="54">
                  <c:v>0.82421238048606882</c:v>
                </c:pt>
                <c:pt idx="55">
                  <c:v>0.82421238048606882</c:v>
                </c:pt>
                <c:pt idx="56">
                  <c:v>0.82421238048606882</c:v>
                </c:pt>
                <c:pt idx="57">
                  <c:v>0.82421238048606882</c:v>
                </c:pt>
                <c:pt idx="58">
                  <c:v>0.82421238048606882</c:v>
                </c:pt>
                <c:pt idx="59">
                  <c:v>0.82421238048606882</c:v>
                </c:pt>
                <c:pt idx="60">
                  <c:v>0.82421238048606882</c:v>
                </c:pt>
                <c:pt idx="61">
                  <c:v>0.92315914613713501</c:v>
                </c:pt>
                <c:pt idx="62">
                  <c:v>0.92315914613713501</c:v>
                </c:pt>
                <c:pt idx="63">
                  <c:v>0.92315914613713501</c:v>
                </c:pt>
                <c:pt idx="64">
                  <c:v>0.92315914613713501</c:v>
                </c:pt>
                <c:pt idx="65">
                  <c:v>0.92315914613713501</c:v>
                </c:pt>
                <c:pt idx="66">
                  <c:v>0.97252028587153694</c:v>
                </c:pt>
                <c:pt idx="67">
                  <c:v>0.97252028587153694</c:v>
                </c:pt>
                <c:pt idx="68">
                  <c:v>0.97252028587153694</c:v>
                </c:pt>
                <c:pt idx="69">
                  <c:v>0.97252028587153694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5-C44E-8F5D-5BF72E857F9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Arkusz1!$C$2:$C$71</c:f>
              <c:numCache>
                <c:formatCode>General</c:formatCode>
                <c:ptCount val="70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xVal>
          <c:yVal>
            <c:numRef>
              <c:f>Arkusz1!$E$2:$E$71</c:f>
              <c:numCache>
                <c:formatCode>General</c:formatCode>
                <c:ptCount val="70"/>
                <c:pt idx="0">
                  <c:v>1.4084507042253521E-2</c:v>
                </c:pt>
                <c:pt idx="1">
                  <c:v>2.8169014084507043E-2</c:v>
                </c:pt>
                <c:pt idx="2">
                  <c:v>4.2253521126760563E-2</c:v>
                </c:pt>
                <c:pt idx="3">
                  <c:v>5.6338028169014086E-2</c:v>
                </c:pt>
                <c:pt idx="4">
                  <c:v>7.0422535211267609E-2</c:v>
                </c:pt>
                <c:pt idx="5">
                  <c:v>8.4507042253521125E-2</c:v>
                </c:pt>
                <c:pt idx="6">
                  <c:v>9.8591549295774641E-2</c:v>
                </c:pt>
                <c:pt idx="7">
                  <c:v>0.11267605633802817</c:v>
                </c:pt>
                <c:pt idx="8">
                  <c:v>0.12676056338028169</c:v>
                </c:pt>
                <c:pt idx="9">
                  <c:v>0.14084507042253522</c:v>
                </c:pt>
                <c:pt idx="10">
                  <c:v>0.15492957746478872</c:v>
                </c:pt>
                <c:pt idx="11">
                  <c:v>0.16901408450704225</c:v>
                </c:pt>
                <c:pt idx="12">
                  <c:v>0.18309859154929578</c:v>
                </c:pt>
                <c:pt idx="13">
                  <c:v>0.19718309859154928</c:v>
                </c:pt>
                <c:pt idx="14">
                  <c:v>0.21126760563380281</c:v>
                </c:pt>
                <c:pt idx="15">
                  <c:v>0.22535211267605634</c:v>
                </c:pt>
                <c:pt idx="16">
                  <c:v>0.23943661971830985</c:v>
                </c:pt>
                <c:pt idx="17">
                  <c:v>0.25352112676056338</c:v>
                </c:pt>
                <c:pt idx="18">
                  <c:v>0.26760563380281688</c:v>
                </c:pt>
                <c:pt idx="19">
                  <c:v>0.28169014084507044</c:v>
                </c:pt>
                <c:pt idx="20">
                  <c:v>0.29577464788732394</c:v>
                </c:pt>
                <c:pt idx="21">
                  <c:v>0.30985915492957744</c:v>
                </c:pt>
                <c:pt idx="22">
                  <c:v>0.323943661971831</c:v>
                </c:pt>
                <c:pt idx="23">
                  <c:v>0.3380281690140845</c:v>
                </c:pt>
                <c:pt idx="24">
                  <c:v>0.352112676056338</c:v>
                </c:pt>
                <c:pt idx="25">
                  <c:v>0.36619718309859156</c:v>
                </c:pt>
                <c:pt idx="26">
                  <c:v>0.38028169014084506</c:v>
                </c:pt>
                <c:pt idx="27">
                  <c:v>0.39436619718309857</c:v>
                </c:pt>
                <c:pt idx="28">
                  <c:v>0.40845070422535212</c:v>
                </c:pt>
                <c:pt idx="29">
                  <c:v>0.42253521126760563</c:v>
                </c:pt>
                <c:pt idx="30">
                  <c:v>0.43661971830985913</c:v>
                </c:pt>
                <c:pt idx="31">
                  <c:v>0.45070422535211269</c:v>
                </c:pt>
                <c:pt idx="32">
                  <c:v>0.46478873239436619</c:v>
                </c:pt>
                <c:pt idx="33">
                  <c:v>0.47887323943661969</c:v>
                </c:pt>
                <c:pt idx="34">
                  <c:v>0.49295774647887325</c:v>
                </c:pt>
                <c:pt idx="35">
                  <c:v>0.50704225352112675</c:v>
                </c:pt>
                <c:pt idx="36">
                  <c:v>0.52112676056338025</c:v>
                </c:pt>
                <c:pt idx="37">
                  <c:v>0.53521126760563376</c:v>
                </c:pt>
                <c:pt idx="38">
                  <c:v>0.54929577464788737</c:v>
                </c:pt>
                <c:pt idx="39">
                  <c:v>0.56338028169014087</c:v>
                </c:pt>
                <c:pt idx="40">
                  <c:v>0.57746478873239437</c:v>
                </c:pt>
                <c:pt idx="41">
                  <c:v>0.59154929577464788</c:v>
                </c:pt>
                <c:pt idx="42">
                  <c:v>0.60563380281690138</c:v>
                </c:pt>
                <c:pt idx="43">
                  <c:v>0.61971830985915488</c:v>
                </c:pt>
                <c:pt idx="44">
                  <c:v>0.63380281690140849</c:v>
                </c:pt>
                <c:pt idx="45">
                  <c:v>0.647887323943662</c:v>
                </c:pt>
                <c:pt idx="46">
                  <c:v>0.6619718309859155</c:v>
                </c:pt>
                <c:pt idx="47">
                  <c:v>0.676056338028169</c:v>
                </c:pt>
                <c:pt idx="48">
                  <c:v>0.6901408450704225</c:v>
                </c:pt>
                <c:pt idx="49">
                  <c:v>0.70422535211267601</c:v>
                </c:pt>
                <c:pt idx="50">
                  <c:v>0.71830985915492962</c:v>
                </c:pt>
                <c:pt idx="51">
                  <c:v>0.73239436619718312</c:v>
                </c:pt>
                <c:pt idx="52">
                  <c:v>0.74647887323943662</c:v>
                </c:pt>
                <c:pt idx="53">
                  <c:v>0.76056338028169013</c:v>
                </c:pt>
                <c:pt idx="54">
                  <c:v>0.77464788732394363</c:v>
                </c:pt>
                <c:pt idx="55">
                  <c:v>0.78873239436619713</c:v>
                </c:pt>
                <c:pt idx="56">
                  <c:v>0.80281690140845074</c:v>
                </c:pt>
                <c:pt idx="57">
                  <c:v>0.81690140845070425</c:v>
                </c:pt>
                <c:pt idx="58">
                  <c:v>0.83098591549295775</c:v>
                </c:pt>
                <c:pt idx="59">
                  <c:v>0.84507042253521125</c:v>
                </c:pt>
                <c:pt idx="60">
                  <c:v>0.85915492957746475</c:v>
                </c:pt>
                <c:pt idx="61">
                  <c:v>0.87323943661971826</c:v>
                </c:pt>
                <c:pt idx="62">
                  <c:v>0.88732394366197187</c:v>
                </c:pt>
                <c:pt idx="63">
                  <c:v>0.90140845070422537</c:v>
                </c:pt>
                <c:pt idx="64">
                  <c:v>0.91549295774647887</c:v>
                </c:pt>
                <c:pt idx="65">
                  <c:v>0.92957746478873238</c:v>
                </c:pt>
                <c:pt idx="66">
                  <c:v>0.94366197183098588</c:v>
                </c:pt>
                <c:pt idx="67">
                  <c:v>0.95774647887323938</c:v>
                </c:pt>
                <c:pt idx="68">
                  <c:v>0.971830985915493</c:v>
                </c:pt>
                <c:pt idx="69">
                  <c:v>0.9859154929577465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5-C44E-8F5D-5BF72E857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472"/>
        <c:axId val="1174062576"/>
      </c:scatterChart>
      <c:valAx>
        <c:axId val="75284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4062576"/>
        <c:crosses val="autoZero"/>
        <c:crossBetween val="midCat"/>
      </c:valAx>
      <c:valAx>
        <c:axId val="11740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284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696384</xdr:colOff>
      <xdr:row>11</xdr:row>
      <xdr:rowOff>100423</xdr:rowOff>
    </xdr:from>
    <xdr:to>
      <xdr:col>20</xdr:col>
      <xdr:colOff>227346</xdr:colOff>
      <xdr:row>39</xdr:row>
      <xdr:rowOff>170274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5E0A0F4-93E4-A14B-8F17-0C384F759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374650</xdr:colOff>
      <xdr:row>43</xdr:row>
      <xdr:rowOff>57149</xdr:rowOff>
    </xdr:from>
    <xdr:to>
      <xdr:col>19</xdr:col>
      <xdr:colOff>615757</xdr:colOff>
      <xdr:row>71</xdr:row>
      <xdr:rowOff>211666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0191751-8293-674A-A58B-E773680BC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417175</xdr:colOff>
      <xdr:row>73</xdr:row>
      <xdr:rowOff>75122</xdr:rowOff>
    </xdr:from>
    <xdr:to>
      <xdr:col>19</xdr:col>
      <xdr:colOff>558030</xdr:colOff>
      <xdr:row>102</xdr:row>
      <xdr:rowOff>57727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2F43C27-3584-AE43-A02B-DDD37BE36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5FE2B-F2E6-E041-8C85-EDF6CE045A86}" name="Tabela1" displayName="Tabela1" ref="A1:G71" totalsRowShown="0" headerRowDxfId="4" dataDxfId="5">
  <autoFilter ref="A1:G71" xr:uid="{8E35FE2B-F2E6-E041-8C85-EDF6CE045A86}"/>
  <tableColumns count="7">
    <tableColumn id="1" xr3:uid="{D182D09A-3269-7C44-83A7-A00106D773A1}" name="Nr." dataDxfId="8"/>
    <tableColumn id="2" xr3:uid="{69B021C6-3FC1-4D41-AE0D-CC0653225281}" name="Dane wejściowe" dataDxfId="7"/>
    <tableColumn id="3" xr3:uid="{D4B01F51-7BD4-2341-B0D1-79FCF049F4AC}" name="Dane posortowane" dataDxfId="6"/>
    <tableColumn id="4" xr3:uid="{00E54BE7-24E5-3446-99AF-CF9934E95C98}" name="Log naturalny" dataDxfId="3">
      <calculatedColumnFormula>LN(Tabela1[[#This Row],[Dane posortowane]])</calculatedColumnFormula>
    </tableColumn>
    <tableColumn id="5" xr3:uid="{9196E871-6A2B-434D-91D2-90BE471F9614}" name="Prawdopodobienstwo skumulowane" dataDxfId="2">
      <calculatedColumnFormula>Tabela1[[#This Row],[Nr.]]/($L$1+1)</calculatedColumnFormula>
    </tableColumn>
    <tableColumn id="6" xr3:uid="{D63B5646-DE70-0945-9916-DE9FF5F1B1A5}" name="Wartości skumulowane" dataDxfId="1">
      <calculatedColumnFormula>(Tabela1[[#This Row],[Log naturalny]]-$L$2)/$L$3</calculatedColumnFormula>
    </tableColumn>
    <tableColumn id="7" xr3:uid="{17FBE147-9ECF-4B4B-8970-69B650DA7DDF}" name="Dystrybuanta teoretyczna rozkładu logarytmowanego" dataDxfId="0">
      <calculatedColumnFormula>LOGNORMDIST(Tabela1[[#This Row],[Dane posortowane]],$L$2,$L$3)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ADF9-656E-4841-A87D-9280986EAEEF}">
  <dimension ref="A1:P71"/>
  <sheetViews>
    <sheetView tabSelected="1" topLeftCell="D1" zoomScale="81" zoomScaleNormal="25" workbookViewId="0">
      <selection activeCell="J11" sqref="J11"/>
    </sheetView>
  </sheetViews>
  <sheetFormatPr baseColWidth="10" defaultRowHeight="16" x14ac:dyDescent="0.2"/>
  <cols>
    <col min="1" max="1" width="8.6640625" bestFit="1" customWidth="1"/>
    <col min="2" max="2" width="19.6640625" bestFit="1" customWidth="1"/>
    <col min="3" max="3" width="18.83203125" customWidth="1"/>
    <col min="4" max="4" width="17.33203125" bestFit="1" customWidth="1"/>
    <col min="5" max="5" width="36.33203125" bestFit="1" customWidth="1"/>
    <col min="6" max="6" width="25.83203125" bestFit="1" customWidth="1"/>
    <col min="7" max="7" width="52" bestFit="1" customWidth="1"/>
    <col min="11" max="11" width="23.6640625" bestFit="1" customWidth="1"/>
  </cols>
  <sheetData>
    <row r="1" spans="1:16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13</v>
      </c>
      <c r="K1" s="4" t="s">
        <v>4</v>
      </c>
      <c r="L1" s="5">
        <f>MAX(A:A)</f>
        <v>70</v>
      </c>
      <c r="O1" s="9" t="s">
        <v>11</v>
      </c>
      <c r="P1" s="10" t="s">
        <v>12</v>
      </c>
    </row>
    <row r="2" spans="1:16" x14ac:dyDescent="0.2">
      <c r="A2" s="1">
        <v>1</v>
      </c>
      <c r="B2" s="1">
        <v>0.19400000000000001</v>
      </c>
      <c r="C2" s="1">
        <v>0.186</v>
      </c>
      <c r="D2" s="1">
        <f>LN(Tabela1[[#This Row],[Dane posortowane]])</f>
        <v>-1.6820086052689358</v>
      </c>
      <c r="E2" s="1">
        <f>Tabela1[[#This Row],[Nr.]]/($L$1+1)</f>
        <v>1.4084507042253521E-2</v>
      </c>
      <c r="F2" s="1">
        <f>(Tabela1[[#This Row],[Log naturalny]]-$L$2)/$L$3</f>
        <v>-2.0943732904931682</v>
      </c>
      <c r="G2" s="2">
        <f>LOGNORMDIST(Tabela1[[#This Row],[Dane posortowane]],$L$2,$L$3)</f>
        <v>1.8113370079152601E-2</v>
      </c>
      <c r="K2" s="12" t="s">
        <v>6</v>
      </c>
      <c r="L2" s="11">
        <f>AVERAGE(Tabela1[Log naturalny])</f>
        <v>-1.6600338627235325</v>
      </c>
      <c r="N2" s="4" t="s">
        <v>9</v>
      </c>
      <c r="O2" s="3">
        <f>-(158.21/95.308)</f>
        <v>-1.6599865698577243</v>
      </c>
      <c r="P2" s="11">
        <f>L2</f>
        <v>-1.6600338627235325</v>
      </c>
    </row>
    <row r="3" spans="1:16" ht="17" thickBot="1" x14ac:dyDescent="0.25">
      <c r="A3" s="1">
        <v>2</v>
      </c>
      <c r="B3" s="1">
        <v>0.193</v>
      </c>
      <c r="C3" s="1">
        <v>0.186</v>
      </c>
      <c r="D3" s="1">
        <f>LN(Tabela1[[#This Row],[Dane posortowane]])</f>
        <v>-1.6820086052689358</v>
      </c>
      <c r="E3" s="1">
        <f>Tabela1[[#This Row],[Nr.]]/($L$1+1)</f>
        <v>2.8169014084507043E-2</v>
      </c>
      <c r="F3" s="1">
        <f>(Tabela1[[#This Row],[Log naturalny]]-$L$2)/$L$3</f>
        <v>-2.0943732904931682</v>
      </c>
      <c r="G3" s="2">
        <f>LOGNORMDIST(Tabela1[[#This Row],[Dane posortowane]],$L$2,$L$3)</f>
        <v>1.8113370079152601E-2</v>
      </c>
      <c r="K3" s="6" t="s">
        <v>7</v>
      </c>
      <c r="L3" s="8">
        <f>STDEV(Tabela1[Log naturalny])</f>
        <v>1.0492275968735674E-2</v>
      </c>
      <c r="N3" s="6" t="s">
        <v>10</v>
      </c>
      <c r="O3" s="7">
        <f>1/95.308</f>
        <v>1.0492298652788853E-2</v>
      </c>
      <c r="P3" s="8">
        <f>L3</f>
        <v>1.0492275968735674E-2</v>
      </c>
    </row>
    <row r="4" spans="1:16" x14ac:dyDescent="0.2">
      <c r="A4" s="1">
        <v>3</v>
      </c>
      <c r="B4" s="1">
        <v>0.19400000000000001</v>
      </c>
      <c r="C4" s="1">
        <v>0.187</v>
      </c>
      <c r="D4" s="1">
        <f>LN(Tabela1[[#This Row],[Dane posortowane]])</f>
        <v>-1.6766466621275504</v>
      </c>
      <c r="E4" s="1">
        <f>Tabela1[[#This Row],[Nr.]]/($L$1+1)</f>
        <v>4.2253521126760563E-2</v>
      </c>
      <c r="F4" s="1">
        <f>(Tabela1[[#This Row],[Log naturalny]]-$L$2)/$L$3</f>
        <v>-1.5833361087260647</v>
      </c>
      <c r="G4" s="2">
        <f>LOGNORMDIST(Tabela1[[#This Row],[Dane posortowane]],$L$2,$L$3)</f>
        <v>5.6672438485748149E-2</v>
      </c>
    </row>
    <row r="5" spans="1:16" x14ac:dyDescent="0.2">
      <c r="A5" s="1">
        <v>4</v>
      </c>
      <c r="B5" s="1">
        <v>0.188</v>
      </c>
      <c r="C5" s="1">
        <v>0.187</v>
      </c>
      <c r="D5" s="1">
        <f>LN(Tabela1[[#This Row],[Dane posortowane]])</f>
        <v>-1.6766466621275504</v>
      </c>
      <c r="E5" s="1">
        <f>Tabela1[[#This Row],[Nr.]]/($L$1+1)</f>
        <v>5.6338028169014086E-2</v>
      </c>
      <c r="F5" s="1">
        <f>(Tabela1[[#This Row],[Log naturalny]]-$L$2)/$L$3</f>
        <v>-1.5833361087260647</v>
      </c>
      <c r="G5" s="2">
        <f>LOGNORMDIST(Tabela1[[#This Row],[Dane posortowane]],$L$2,$L$3)</f>
        <v>5.6672438485748149E-2</v>
      </c>
    </row>
    <row r="6" spans="1:16" x14ac:dyDescent="0.2">
      <c r="A6" s="1">
        <v>5</v>
      </c>
      <c r="B6" s="1">
        <v>0.19</v>
      </c>
      <c r="C6" s="1">
        <v>0.187</v>
      </c>
      <c r="D6" s="1">
        <f>LN(Tabela1[[#This Row],[Dane posortowane]])</f>
        <v>-1.6766466621275504</v>
      </c>
      <c r="E6" s="1">
        <f>Tabela1[[#This Row],[Nr.]]/($L$1+1)</f>
        <v>7.0422535211267609E-2</v>
      </c>
      <c r="F6" s="1">
        <f>(Tabela1[[#This Row],[Log naturalny]]-$L$2)/$L$3</f>
        <v>-1.5833361087260647</v>
      </c>
      <c r="G6" s="2">
        <f>LOGNORMDIST(Tabela1[[#This Row],[Dane posortowane]],$L$2,$L$3)</f>
        <v>5.6672438485748149E-2</v>
      </c>
    </row>
    <row r="7" spans="1:16" x14ac:dyDescent="0.2">
      <c r="A7" s="1">
        <v>6</v>
      </c>
      <c r="B7" s="1">
        <v>0.192</v>
      </c>
      <c r="C7" s="1">
        <v>0.187</v>
      </c>
      <c r="D7" s="1">
        <f>LN(Tabela1[[#This Row],[Dane posortowane]])</f>
        <v>-1.6766466621275504</v>
      </c>
      <c r="E7" s="1">
        <f>Tabela1[[#This Row],[Nr.]]/($L$1+1)</f>
        <v>8.4507042253521125E-2</v>
      </c>
      <c r="F7" s="1">
        <f>(Tabela1[[#This Row],[Log naturalny]]-$L$2)/$L$3</f>
        <v>-1.5833361087260647</v>
      </c>
      <c r="G7" s="2">
        <f>LOGNORMDIST(Tabela1[[#This Row],[Dane posortowane]],$L$2,$L$3)</f>
        <v>5.6672438485748149E-2</v>
      </c>
    </row>
    <row r="8" spans="1:16" x14ac:dyDescent="0.2">
      <c r="A8" s="1">
        <v>7</v>
      </c>
      <c r="B8" s="1">
        <v>0.19</v>
      </c>
      <c r="C8" s="1">
        <v>0.187</v>
      </c>
      <c r="D8" s="1">
        <f>LN(Tabela1[[#This Row],[Dane posortowane]])</f>
        <v>-1.6766466621275504</v>
      </c>
      <c r="E8" s="1">
        <f>Tabela1[[#This Row],[Nr.]]/($L$1+1)</f>
        <v>9.8591549295774641E-2</v>
      </c>
      <c r="F8" s="1">
        <f>(Tabela1[[#This Row],[Log naturalny]]-$L$2)/$L$3</f>
        <v>-1.5833361087260647</v>
      </c>
      <c r="G8" s="2">
        <f>LOGNORMDIST(Tabela1[[#This Row],[Dane posortowane]],$L$2,$L$3)</f>
        <v>5.6672438485748149E-2</v>
      </c>
    </row>
    <row r="9" spans="1:16" x14ac:dyDescent="0.2">
      <c r="A9" s="1">
        <v>8</v>
      </c>
      <c r="B9" s="1">
        <v>0.189</v>
      </c>
      <c r="C9" s="1">
        <v>0.187</v>
      </c>
      <c r="D9" s="1">
        <f>LN(Tabela1[[#This Row],[Dane posortowane]])</f>
        <v>-1.6766466621275504</v>
      </c>
      <c r="E9" s="1">
        <f>Tabela1[[#This Row],[Nr.]]/($L$1+1)</f>
        <v>0.11267605633802817</v>
      </c>
      <c r="F9" s="1">
        <f>(Tabela1[[#This Row],[Log naturalny]]-$L$2)/$L$3</f>
        <v>-1.5833361087260647</v>
      </c>
      <c r="G9" s="2">
        <f>LOGNORMDIST(Tabela1[[#This Row],[Dane posortowane]],$L$2,$L$3)</f>
        <v>5.6672438485748149E-2</v>
      </c>
    </row>
    <row r="10" spans="1:16" x14ac:dyDescent="0.2">
      <c r="A10" s="1">
        <v>9</v>
      </c>
      <c r="B10" s="1">
        <v>0.19</v>
      </c>
      <c r="C10" s="1">
        <v>0.188</v>
      </c>
      <c r="D10" s="1">
        <f>LN(Tabela1[[#This Row],[Dane posortowane]])</f>
        <v>-1.6713133161521878</v>
      </c>
      <c r="E10" s="1">
        <f>Tabela1[[#This Row],[Nr.]]/($L$1+1)</f>
        <v>0.12676056338028169</v>
      </c>
      <c r="F10" s="1">
        <f>(Tabela1[[#This Row],[Log naturalny]]-$L$2)/$L$3</f>
        <v>-1.0750244715508097</v>
      </c>
      <c r="G10" s="2">
        <f>LOGNORMDIST(Tabela1[[#This Row],[Dane posortowane]],$L$2,$L$3)</f>
        <v>0.14118188612681659</v>
      </c>
    </row>
    <row r="11" spans="1:16" x14ac:dyDescent="0.2">
      <c r="A11" s="1">
        <v>10</v>
      </c>
      <c r="B11" s="1">
        <v>0.192</v>
      </c>
      <c r="C11" s="1">
        <v>0.188</v>
      </c>
      <c r="D11" s="1">
        <f>LN(Tabela1[[#This Row],[Dane posortowane]])</f>
        <v>-1.6713133161521878</v>
      </c>
      <c r="E11" s="1">
        <f>Tabela1[[#This Row],[Nr.]]/($L$1+1)</f>
        <v>0.14084507042253522</v>
      </c>
      <c r="F11" s="1">
        <f>(Tabela1[[#This Row],[Log naturalny]]-$L$2)/$L$3</f>
        <v>-1.0750244715508097</v>
      </c>
      <c r="G11" s="2">
        <f>LOGNORMDIST(Tabela1[[#This Row],[Dane posortowane]],$L$2,$L$3)</f>
        <v>0.14118188612681659</v>
      </c>
    </row>
    <row r="12" spans="1:16" x14ac:dyDescent="0.2">
      <c r="A12" s="1">
        <v>11</v>
      </c>
      <c r="B12" s="1">
        <v>0.192</v>
      </c>
      <c r="C12" s="1">
        <v>0.188</v>
      </c>
      <c r="D12" s="1">
        <f>LN(Tabela1[[#This Row],[Dane posortowane]])</f>
        <v>-1.6713133161521878</v>
      </c>
      <c r="E12" s="1">
        <f>Tabela1[[#This Row],[Nr.]]/($L$1+1)</f>
        <v>0.15492957746478872</v>
      </c>
      <c r="F12" s="1">
        <f>(Tabela1[[#This Row],[Log naturalny]]-$L$2)/$L$3</f>
        <v>-1.0750244715508097</v>
      </c>
      <c r="G12" s="2">
        <f>LOGNORMDIST(Tabela1[[#This Row],[Dane posortowane]],$L$2,$L$3)</f>
        <v>0.14118188612681659</v>
      </c>
    </row>
    <row r="13" spans="1:16" x14ac:dyDescent="0.2">
      <c r="A13" s="1">
        <v>12</v>
      </c>
      <c r="B13" s="1">
        <v>0.19</v>
      </c>
      <c r="C13" s="1">
        <v>0.188</v>
      </c>
      <c r="D13" s="1">
        <f>LN(Tabela1[[#This Row],[Dane posortowane]])</f>
        <v>-1.6713133161521878</v>
      </c>
      <c r="E13" s="1">
        <f>Tabela1[[#This Row],[Nr.]]/($L$1+1)</f>
        <v>0.16901408450704225</v>
      </c>
      <c r="F13" s="1">
        <f>(Tabela1[[#This Row],[Log naturalny]]-$L$2)/$L$3</f>
        <v>-1.0750244715508097</v>
      </c>
      <c r="G13" s="2">
        <f>LOGNORMDIST(Tabela1[[#This Row],[Dane posortowane]],$L$2,$L$3)</f>
        <v>0.14118188612681659</v>
      </c>
    </row>
    <row r="14" spans="1:16" x14ac:dyDescent="0.2">
      <c r="A14" s="1">
        <v>13</v>
      </c>
      <c r="B14" s="1">
        <v>0.193</v>
      </c>
      <c r="C14" s="1">
        <v>0.188</v>
      </c>
      <c r="D14" s="1">
        <f>LN(Tabela1[[#This Row],[Dane posortowane]])</f>
        <v>-1.6713133161521878</v>
      </c>
      <c r="E14" s="1">
        <f>Tabela1[[#This Row],[Nr.]]/($L$1+1)</f>
        <v>0.18309859154929578</v>
      </c>
      <c r="F14" s="1">
        <f>(Tabela1[[#This Row],[Log naturalny]]-$L$2)/$L$3</f>
        <v>-1.0750244715508097</v>
      </c>
      <c r="G14" s="2">
        <f>LOGNORMDIST(Tabela1[[#This Row],[Dane posortowane]],$L$2,$L$3)</f>
        <v>0.14118188612681659</v>
      </c>
    </row>
    <row r="15" spans="1:16" x14ac:dyDescent="0.2">
      <c r="A15" s="1">
        <v>14</v>
      </c>
      <c r="B15" s="1">
        <v>0.189</v>
      </c>
      <c r="C15" s="1">
        <v>0.188</v>
      </c>
      <c r="D15" s="1">
        <f>LN(Tabela1[[#This Row],[Dane posortowane]])</f>
        <v>-1.6713133161521878</v>
      </c>
      <c r="E15" s="1">
        <f>Tabela1[[#This Row],[Nr.]]/($L$1+1)</f>
        <v>0.19718309859154928</v>
      </c>
      <c r="F15" s="1">
        <f>(Tabela1[[#This Row],[Log naturalny]]-$L$2)/$L$3</f>
        <v>-1.0750244715508097</v>
      </c>
      <c r="G15" s="2">
        <f>LOGNORMDIST(Tabela1[[#This Row],[Dane posortowane]],$L$2,$L$3)</f>
        <v>0.14118188612681659</v>
      </c>
    </row>
    <row r="16" spans="1:16" x14ac:dyDescent="0.2">
      <c r="A16" s="1">
        <v>15</v>
      </c>
      <c r="B16" s="1">
        <v>0.191</v>
      </c>
      <c r="C16" s="1">
        <v>0.189</v>
      </c>
      <c r="D16" s="1">
        <f>LN(Tabela1[[#This Row],[Dane posortowane]])</f>
        <v>-1.6660082639224947</v>
      </c>
      <c r="E16" s="1">
        <f>Tabela1[[#This Row],[Nr.]]/($L$1+1)</f>
        <v>0.21126760563380281</v>
      </c>
      <c r="F16" s="1">
        <f>(Tabela1[[#This Row],[Log naturalny]]-$L$2)/$L$3</f>
        <v>-0.56940946051785157</v>
      </c>
      <c r="G16" s="2">
        <f>LOGNORMDIST(Tabela1[[#This Row],[Dane posortowane]],$L$2,$L$3)</f>
        <v>0.284539149040336</v>
      </c>
    </row>
    <row r="17" spans="1:7" x14ac:dyDescent="0.2">
      <c r="A17" s="1">
        <v>16</v>
      </c>
      <c r="B17" s="1">
        <v>0.19400000000000001</v>
      </c>
      <c r="C17" s="1">
        <v>0.189</v>
      </c>
      <c r="D17" s="1">
        <f>LN(Tabela1[[#This Row],[Dane posortowane]])</f>
        <v>-1.6660082639224947</v>
      </c>
      <c r="E17" s="1">
        <f>Tabela1[[#This Row],[Nr.]]/($L$1+1)</f>
        <v>0.22535211267605634</v>
      </c>
      <c r="F17" s="1">
        <f>(Tabela1[[#This Row],[Log naturalny]]-$L$2)/$L$3</f>
        <v>-0.56940946051785157</v>
      </c>
      <c r="G17" s="2">
        <f>LOGNORMDIST(Tabela1[[#This Row],[Dane posortowane]],$L$2,$L$3)</f>
        <v>0.284539149040336</v>
      </c>
    </row>
    <row r="18" spans="1:7" x14ac:dyDescent="0.2">
      <c r="A18" s="1">
        <v>17</v>
      </c>
      <c r="B18" s="1">
        <v>0.191</v>
      </c>
      <c r="C18" s="1">
        <v>0.189</v>
      </c>
      <c r="D18" s="1">
        <f>LN(Tabela1[[#This Row],[Dane posortowane]])</f>
        <v>-1.6660082639224947</v>
      </c>
      <c r="E18" s="1">
        <f>Tabela1[[#This Row],[Nr.]]/($L$1+1)</f>
        <v>0.23943661971830985</v>
      </c>
      <c r="F18" s="1">
        <f>(Tabela1[[#This Row],[Log naturalny]]-$L$2)/$L$3</f>
        <v>-0.56940946051785157</v>
      </c>
      <c r="G18" s="2">
        <f>LOGNORMDIST(Tabela1[[#This Row],[Dane posortowane]],$L$2,$L$3)</f>
        <v>0.284539149040336</v>
      </c>
    </row>
    <row r="19" spans="1:7" x14ac:dyDescent="0.2">
      <c r="A19" s="1">
        <v>18</v>
      </c>
      <c r="B19" s="1">
        <v>0.189</v>
      </c>
      <c r="C19" s="1">
        <v>0.189</v>
      </c>
      <c r="D19" s="1">
        <f>LN(Tabela1[[#This Row],[Dane posortowane]])</f>
        <v>-1.6660082639224947</v>
      </c>
      <c r="E19" s="1">
        <f>Tabela1[[#This Row],[Nr.]]/($L$1+1)</f>
        <v>0.25352112676056338</v>
      </c>
      <c r="F19" s="1">
        <f>(Tabela1[[#This Row],[Log naturalny]]-$L$2)/$L$3</f>
        <v>-0.56940946051785157</v>
      </c>
      <c r="G19" s="2">
        <f>LOGNORMDIST(Tabela1[[#This Row],[Dane posortowane]],$L$2,$L$3)</f>
        <v>0.284539149040336</v>
      </c>
    </row>
    <row r="20" spans="1:7" x14ac:dyDescent="0.2">
      <c r="A20" s="1">
        <v>19</v>
      </c>
      <c r="B20" s="1">
        <v>0.19</v>
      </c>
      <c r="C20" s="1">
        <v>0.189</v>
      </c>
      <c r="D20" s="1">
        <f>LN(Tabela1[[#This Row],[Dane posortowane]])</f>
        <v>-1.6660082639224947</v>
      </c>
      <c r="E20" s="1">
        <f>Tabela1[[#This Row],[Nr.]]/($L$1+1)</f>
        <v>0.26760563380281688</v>
      </c>
      <c r="F20" s="1">
        <f>(Tabela1[[#This Row],[Log naturalny]]-$L$2)/$L$3</f>
        <v>-0.56940946051785157</v>
      </c>
      <c r="G20" s="2">
        <f>LOGNORMDIST(Tabela1[[#This Row],[Dane posortowane]],$L$2,$L$3)</f>
        <v>0.284539149040336</v>
      </c>
    </row>
    <row r="21" spans="1:7" x14ac:dyDescent="0.2">
      <c r="A21" s="1">
        <v>20</v>
      </c>
      <c r="B21" s="1">
        <v>0.188</v>
      </c>
      <c r="C21" s="1">
        <v>0.189</v>
      </c>
      <c r="D21" s="1">
        <f>LN(Tabela1[[#This Row],[Dane posortowane]])</f>
        <v>-1.6660082639224947</v>
      </c>
      <c r="E21" s="1">
        <f>Tabela1[[#This Row],[Nr.]]/($L$1+1)</f>
        <v>0.28169014084507044</v>
      </c>
      <c r="F21" s="1">
        <f>(Tabela1[[#This Row],[Log naturalny]]-$L$2)/$L$3</f>
        <v>-0.56940946051785157</v>
      </c>
      <c r="G21" s="2">
        <f>LOGNORMDIST(Tabela1[[#This Row],[Dane posortowane]],$L$2,$L$3)</f>
        <v>0.284539149040336</v>
      </c>
    </row>
    <row r="22" spans="1:7" x14ac:dyDescent="0.2">
      <c r="A22" s="1">
        <v>21</v>
      </c>
      <c r="B22" s="1">
        <v>0.191</v>
      </c>
      <c r="C22" s="1">
        <v>0.189</v>
      </c>
      <c r="D22" s="1">
        <f>LN(Tabela1[[#This Row],[Dane posortowane]])</f>
        <v>-1.6660082639224947</v>
      </c>
      <c r="E22" s="1">
        <f>Tabela1[[#This Row],[Nr.]]/($L$1+1)</f>
        <v>0.29577464788732394</v>
      </c>
      <c r="F22" s="1">
        <f>(Tabela1[[#This Row],[Log naturalny]]-$L$2)/$L$3</f>
        <v>-0.56940946051785157</v>
      </c>
      <c r="G22" s="2">
        <f>LOGNORMDIST(Tabela1[[#This Row],[Dane posortowane]],$L$2,$L$3)</f>
        <v>0.284539149040336</v>
      </c>
    </row>
    <row r="23" spans="1:7" x14ac:dyDescent="0.2">
      <c r="A23" s="1">
        <v>22</v>
      </c>
      <c r="B23" s="1">
        <v>0.192</v>
      </c>
      <c r="C23" s="1">
        <v>0.189</v>
      </c>
      <c r="D23" s="1">
        <f>LN(Tabela1[[#This Row],[Dane posortowane]])</f>
        <v>-1.6660082639224947</v>
      </c>
      <c r="E23" s="1">
        <f>Tabela1[[#This Row],[Nr.]]/($L$1+1)</f>
        <v>0.30985915492957744</v>
      </c>
      <c r="F23" s="1">
        <f>(Tabela1[[#This Row],[Log naturalny]]-$L$2)/$L$3</f>
        <v>-0.56940946051785157</v>
      </c>
      <c r="G23" s="2">
        <f>LOGNORMDIST(Tabela1[[#This Row],[Dane posortowane]],$L$2,$L$3)</f>
        <v>0.284539149040336</v>
      </c>
    </row>
    <row r="24" spans="1:7" x14ac:dyDescent="0.2">
      <c r="A24" s="1">
        <v>23</v>
      </c>
      <c r="B24" s="1">
        <v>0.191</v>
      </c>
      <c r="C24" s="1">
        <v>0.189</v>
      </c>
      <c r="D24" s="1">
        <f>LN(Tabela1[[#This Row],[Dane posortowane]])</f>
        <v>-1.6660082639224947</v>
      </c>
      <c r="E24" s="1">
        <f>Tabela1[[#This Row],[Nr.]]/($L$1+1)</f>
        <v>0.323943661971831</v>
      </c>
      <c r="F24" s="1">
        <f>(Tabela1[[#This Row],[Log naturalny]]-$L$2)/$L$3</f>
        <v>-0.56940946051785157</v>
      </c>
      <c r="G24" s="2">
        <f>LOGNORMDIST(Tabela1[[#This Row],[Dane posortowane]],$L$2,$L$3)</f>
        <v>0.284539149040336</v>
      </c>
    </row>
    <row r="25" spans="1:7" x14ac:dyDescent="0.2">
      <c r="A25" s="1">
        <v>24</v>
      </c>
      <c r="B25" s="1">
        <v>0.19</v>
      </c>
      <c r="C25" s="1">
        <v>0.189</v>
      </c>
      <c r="D25" s="1">
        <f>LN(Tabela1[[#This Row],[Dane posortowane]])</f>
        <v>-1.6660082639224947</v>
      </c>
      <c r="E25" s="1">
        <f>Tabela1[[#This Row],[Nr.]]/($L$1+1)</f>
        <v>0.3380281690140845</v>
      </c>
      <c r="F25" s="1">
        <f>(Tabela1[[#This Row],[Log naturalny]]-$L$2)/$L$3</f>
        <v>-0.56940946051785157</v>
      </c>
      <c r="G25" s="2">
        <f>LOGNORMDIST(Tabela1[[#This Row],[Dane posortowane]],$L$2,$L$3)</f>
        <v>0.284539149040336</v>
      </c>
    </row>
    <row r="26" spans="1:7" x14ac:dyDescent="0.2">
      <c r="A26" s="1">
        <v>25</v>
      </c>
      <c r="B26" s="1">
        <v>0.188</v>
      </c>
      <c r="C26" s="1">
        <v>0.189</v>
      </c>
      <c r="D26" s="1">
        <f>LN(Tabela1[[#This Row],[Dane posortowane]])</f>
        <v>-1.6660082639224947</v>
      </c>
      <c r="E26" s="1">
        <f>Tabela1[[#This Row],[Nr.]]/($L$1+1)</f>
        <v>0.352112676056338</v>
      </c>
      <c r="F26" s="1">
        <f>(Tabela1[[#This Row],[Log naturalny]]-$L$2)/$L$3</f>
        <v>-0.56940946051785157</v>
      </c>
      <c r="G26" s="2">
        <f>LOGNORMDIST(Tabela1[[#This Row],[Dane posortowane]],$L$2,$L$3)</f>
        <v>0.284539149040336</v>
      </c>
    </row>
    <row r="27" spans="1:7" x14ac:dyDescent="0.2">
      <c r="A27" s="1">
        <v>26</v>
      </c>
      <c r="B27" s="1">
        <v>0.187</v>
      </c>
      <c r="C27" s="1">
        <v>0.189</v>
      </c>
      <c r="D27" s="1">
        <f>LN(Tabela1[[#This Row],[Dane posortowane]])</f>
        <v>-1.6660082639224947</v>
      </c>
      <c r="E27" s="1">
        <f>Tabela1[[#This Row],[Nr.]]/($L$1+1)</f>
        <v>0.36619718309859156</v>
      </c>
      <c r="F27" s="1">
        <f>(Tabela1[[#This Row],[Log naturalny]]-$L$2)/$L$3</f>
        <v>-0.56940946051785157</v>
      </c>
      <c r="G27" s="2">
        <f>LOGNORMDIST(Tabela1[[#This Row],[Dane posortowane]],$L$2,$L$3)</f>
        <v>0.284539149040336</v>
      </c>
    </row>
    <row r="28" spans="1:7" x14ac:dyDescent="0.2">
      <c r="A28" s="1">
        <v>27</v>
      </c>
      <c r="B28" s="1">
        <v>0.186</v>
      </c>
      <c r="C28" s="1">
        <v>0.19</v>
      </c>
      <c r="D28" s="1">
        <f>LN(Tabela1[[#This Row],[Dane posortowane]])</f>
        <v>-1.6607312068216509</v>
      </c>
      <c r="E28" s="1">
        <f>Tabela1[[#This Row],[Nr.]]/($L$1+1)</f>
        <v>0.38028169014084506</v>
      </c>
      <c r="F28" s="1">
        <f>(Tabela1[[#This Row],[Log naturalny]]-$L$2)/$L$3</f>
        <v>-6.6462614993763006E-2</v>
      </c>
      <c r="G28" s="2">
        <f>LOGNORMDIST(Tabela1[[#This Row],[Dane posortowane]],$L$2,$L$3)</f>
        <v>0.47350476039245271</v>
      </c>
    </row>
    <row r="29" spans="1:7" x14ac:dyDescent="0.2">
      <c r="A29" s="1">
        <v>28</v>
      </c>
      <c r="B29" s="1">
        <v>0.189</v>
      </c>
      <c r="C29" s="1">
        <v>0.19</v>
      </c>
      <c r="D29" s="1">
        <f>LN(Tabela1[[#This Row],[Dane posortowane]])</f>
        <v>-1.6607312068216509</v>
      </c>
      <c r="E29" s="1">
        <f>Tabela1[[#This Row],[Nr.]]/($L$1+1)</f>
        <v>0.39436619718309857</v>
      </c>
      <c r="F29" s="1">
        <f>(Tabela1[[#This Row],[Log naturalny]]-$L$2)/$L$3</f>
        <v>-6.6462614993763006E-2</v>
      </c>
      <c r="G29" s="2">
        <f>LOGNORMDIST(Tabela1[[#This Row],[Dane posortowane]],$L$2,$L$3)</f>
        <v>0.47350476039245271</v>
      </c>
    </row>
    <row r="30" spans="1:7" x14ac:dyDescent="0.2">
      <c r="A30" s="1">
        <v>29</v>
      </c>
      <c r="B30" s="1">
        <v>0.188</v>
      </c>
      <c r="C30" s="1">
        <v>0.19</v>
      </c>
      <c r="D30" s="1">
        <f>LN(Tabela1[[#This Row],[Dane posortowane]])</f>
        <v>-1.6607312068216509</v>
      </c>
      <c r="E30" s="1">
        <f>Tabela1[[#This Row],[Nr.]]/($L$1+1)</f>
        <v>0.40845070422535212</v>
      </c>
      <c r="F30" s="1">
        <f>(Tabela1[[#This Row],[Log naturalny]]-$L$2)/$L$3</f>
        <v>-6.6462614993763006E-2</v>
      </c>
      <c r="G30" s="2">
        <f>LOGNORMDIST(Tabela1[[#This Row],[Dane posortowane]],$L$2,$L$3)</f>
        <v>0.47350476039245271</v>
      </c>
    </row>
    <row r="31" spans="1:7" x14ac:dyDescent="0.2">
      <c r="A31" s="1">
        <v>30</v>
      </c>
      <c r="B31" s="1">
        <v>0.191</v>
      </c>
      <c r="C31" s="1">
        <v>0.19</v>
      </c>
      <c r="D31" s="1">
        <f>LN(Tabela1[[#This Row],[Dane posortowane]])</f>
        <v>-1.6607312068216509</v>
      </c>
      <c r="E31" s="1">
        <f>Tabela1[[#This Row],[Nr.]]/($L$1+1)</f>
        <v>0.42253521126760563</v>
      </c>
      <c r="F31" s="1">
        <f>(Tabela1[[#This Row],[Log naturalny]]-$L$2)/$L$3</f>
        <v>-6.6462614993763006E-2</v>
      </c>
      <c r="G31" s="2">
        <f>LOGNORMDIST(Tabela1[[#This Row],[Dane posortowane]],$L$2,$L$3)</f>
        <v>0.47350476039245271</v>
      </c>
    </row>
    <row r="32" spans="1:7" x14ac:dyDescent="0.2">
      <c r="A32" s="1">
        <v>31</v>
      </c>
      <c r="B32" s="1">
        <v>0.189</v>
      </c>
      <c r="C32" s="1">
        <v>0.19</v>
      </c>
      <c r="D32" s="1">
        <f>LN(Tabela1[[#This Row],[Dane posortowane]])</f>
        <v>-1.6607312068216509</v>
      </c>
      <c r="E32" s="1">
        <f>Tabela1[[#This Row],[Nr.]]/($L$1+1)</f>
        <v>0.43661971830985913</v>
      </c>
      <c r="F32" s="1">
        <f>(Tabela1[[#This Row],[Log naturalny]]-$L$2)/$L$3</f>
        <v>-6.6462614993763006E-2</v>
      </c>
      <c r="G32" s="2">
        <f>LOGNORMDIST(Tabela1[[#This Row],[Dane posortowane]],$L$2,$L$3)</f>
        <v>0.47350476039245271</v>
      </c>
    </row>
    <row r="33" spans="1:7" x14ac:dyDescent="0.2">
      <c r="A33" s="1">
        <v>32</v>
      </c>
      <c r="B33" s="1">
        <v>0.19</v>
      </c>
      <c r="C33" s="1">
        <v>0.19</v>
      </c>
      <c r="D33" s="1">
        <f>LN(Tabela1[[#This Row],[Dane posortowane]])</f>
        <v>-1.6607312068216509</v>
      </c>
      <c r="E33" s="1">
        <f>Tabela1[[#This Row],[Nr.]]/($L$1+1)</f>
        <v>0.45070422535211269</v>
      </c>
      <c r="F33" s="1">
        <f>(Tabela1[[#This Row],[Log naturalny]]-$L$2)/$L$3</f>
        <v>-6.6462614993763006E-2</v>
      </c>
      <c r="G33" s="2">
        <f>LOGNORMDIST(Tabela1[[#This Row],[Dane posortowane]],$L$2,$L$3)</f>
        <v>0.47350476039245271</v>
      </c>
    </row>
    <row r="34" spans="1:7" x14ac:dyDescent="0.2">
      <c r="A34" s="1">
        <v>33</v>
      </c>
      <c r="B34" s="1">
        <v>0.186</v>
      </c>
      <c r="C34" s="1">
        <v>0.19</v>
      </c>
      <c r="D34" s="1">
        <f>LN(Tabela1[[#This Row],[Dane posortowane]])</f>
        <v>-1.6607312068216509</v>
      </c>
      <c r="E34" s="1">
        <f>Tabela1[[#This Row],[Nr.]]/($L$1+1)</f>
        <v>0.46478873239436619</v>
      </c>
      <c r="F34" s="1">
        <f>(Tabela1[[#This Row],[Log naturalny]]-$L$2)/$L$3</f>
        <v>-6.6462614993763006E-2</v>
      </c>
      <c r="G34" s="2">
        <f>LOGNORMDIST(Tabela1[[#This Row],[Dane posortowane]],$L$2,$L$3)</f>
        <v>0.47350476039245271</v>
      </c>
    </row>
    <row r="35" spans="1:7" x14ac:dyDescent="0.2">
      <c r="A35" s="1">
        <v>34</v>
      </c>
      <c r="B35" s="1">
        <v>0.189</v>
      </c>
      <c r="C35" s="1">
        <v>0.19</v>
      </c>
      <c r="D35" s="1">
        <f>LN(Tabela1[[#This Row],[Dane posortowane]])</f>
        <v>-1.6607312068216509</v>
      </c>
      <c r="E35" s="1">
        <f>Tabela1[[#This Row],[Nr.]]/($L$1+1)</f>
        <v>0.47887323943661969</v>
      </c>
      <c r="F35" s="1">
        <f>(Tabela1[[#This Row],[Log naturalny]]-$L$2)/$L$3</f>
        <v>-6.6462614993763006E-2</v>
      </c>
      <c r="G35" s="2">
        <f>LOGNORMDIST(Tabela1[[#This Row],[Dane posortowane]],$L$2,$L$3)</f>
        <v>0.47350476039245271</v>
      </c>
    </row>
    <row r="36" spans="1:7" x14ac:dyDescent="0.2">
      <c r="A36" s="1">
        <v>35</v>
      </c>
      <c r="B36" s="1">
        <v>0.191</v>
      </c>
      <c r="C36" s="1">
        <v>0.19</v>
      </c>
      <c r="D36" s="1">
        <f>LN(Tabela1[[#This Row],[Dane posortowane]])</f>
        <v>-1.6607312068216509</v>
      </c>
      <c r="E36" s="1">
        <f>Tabela1[[#This Row],[Nr.]]/($L$1+1)</f>
        <v>0.49295774647887325</v>
      </c>
      <c r="F36" s="1">
        <f>(Tabela1[[#This Row],[Log naturalny]]-$L$2)/$L$3</f>
        <v>-6.6462614993763006E-2</v>
      </c>
      <c r="G36" s="2">
        <f>LOGNORMDIST(Tabela1[[#This Row],[Dane posortowane]],$L$2,$L$3)</f>
        <v>0.47350476039245271</v>
      </c>
    </row>
    <row r="37" spans="1:7" x14ac:dyDescent="0.2">
      <c r="A37" s="1">
        <v>36</v>
      </c>
      <c r="B37" s="1">
        <v>0.193</v>
      </c>
      <c r="C37" s="1">
        <v>0.19</v>
      </c>
      <c r="D37" s="1">
        <f>LN(Tabela1[[#This Row],[Dane posortowane]])</f>
        <v>-1.6607312068216509</v>
      </c>
      <c r="E37" s="1">
        <f>Tabela1[[#This Row],[Nr.]]/($L$1+1)</f>
        <v>0.50704225352112675</v>
      </c>
      <c r="F37" s="1">
        <f>(Tabela1[[#This Row],[Log naturalny]]-$L$2)/$L$3</f>
        <v>-6.6462614993763006E-2</v>
      </c>
      <c r="G37" s="2">
        <f>LOGNORMDIST(Tabela1[[#This Row],[Dane posortowane]],$L$2,$L$3)</f>
        <v>0.47350476039245271</v>
      </c>
    </row>
    <row r="38" spans="1:7" x14ac:dyDescent="0.2">
      <c r="A38" s="1">
        <v>37</v>
      </c>
      <c r="B38" s="1">
        <v>0.187</v>
      </c>
      <c r="C38" s="1">
        <v>0.19</v>
      </c>
      <c r="D38" s="1">
        <f>LN(Tabela1[[#This Row],[Dane posortowane]])</f>
        <v>-1.6607312068216509</v>
      </c>
      <c r="E38" s="1">
        <f>Tabela1[[#This Row],[Nr.]]/($L$1+1)</f>
        <v>0.52112676056338025</v>
      </c>
      <c r="F38" s="1">
        <f>(Tabela1[[#This Row],[Log naturalny]]-$L$2)/$L$3</f>
        <v>-6.6462614993763006E-2</v>
      </c>
      <c r="G38" s="2">
        <f>LOGNORMDIST(Tabela1[[#This Row],[Dane posortowane]],$L$2,$L$3)</f>
        <v>0.47350476039245271</v>
      </c>
    </row>
    <row r="39" spans="1:7" x14ac:dyDescent="0.2">
      <c r="A39" s="1">
        <v>38</v>
      </c>
      <c r="B39" s="1">
        <v>0.19</v>
      </c>
      <c r="C39" s="1">
        <v>0.19</v>
      </c>
      <c r="D39" s="1">
        <f>LN(Tabela1[[#This Row],[Dane posortowane]])</f>
        <v>-1.6607312068216509</v>
      </c>
      <c r="E39" s="1">
        <f>Tabela1[[#This Row],[Nr.]]/($L$1+1)</f>
        <v>0.53521126760563376</v>
      </c>
      <c r="F39" s="1">
        <f>(Tabela1[[#This Row],[Log naturalny]]-$L$2)/$L$3</f>
        <v>-6.6462614993763006E-2</v>
      </c>
      <c r="G39" s="2">
        <f>LOGNORMDIST(Tabela1[[#This Row],[Dane posortowane]],$L$2,$L$3)</f>
        <v>0.47350476039245271</v>
      </c>
    </row>
    <row r="40" spans="1:7" x14ac:dyDescent="0.2">
      <c r="A40" s="1">
        <v>39</v>
      </c>
      <c r="B40" s="1">
        <v>0.193</v>
      </c>
      <c r="C40" s="1">
        <v>0.19</v>
      </c>
      <c r="D40" s="1">
        <f>LN(Tabela1[[#This Row],[Dane posortowane]])</f>
        <v>-1.6607312068216509</v>
      </c>
      <c r="E40" s="1">
        <f>Tabela1[[#This Row],[Nr.]]/($L$1+1)</f>
        <v>0.54929577464788737</v>
      </c>
      <c r="F40" s="1">
        <f>(Tabela1[[#This Row],[Log naturalny]]-$L$2)/$L$3</f>
        <v>-6.6462614993763006E-2</v>
      </c>
      <c r="G40" s="2">
        <f>LOGNORMDIST(Tabela1[[#This Row],[Dane posortowane]],$L$2,$L$3)</f>
        <v>0.47350476039245271</v>
      </c>
    </row>
    <row r="41" spans="1:7" x14ac:dyDescent="0.2">
      <c r="A41" s="1">
        <v>40</v>
      </c>
      <c r="B41" s="1">
        <v>0.19</v>
      </c>
      <c r="C41" s="1">
        <v>0.19</v>
      </c>
      <c r="D41" s="1">
        <f>LN(Tabela1[[#This Row],[Dane posortowane]])</f>
        <v>-1.6607312068216509</v>
      </c>
      <c r="E41" s="1">
        <f>Tabela1[[#This Row],[Nr.]]/($L$1+1)</f>
        <v>0.56338028169014087</v>
      </c>
      <c r="F41" s="1">
        <f>(Tabela1[[#This Row],[Log naturalny]]-$L$2)/$L$3</f>
        <v>-6.6462614993763006E-2</v>
      </c>
      <c r="G41" s="2">
        <f>LOGNORMDIST(Tabela1[[#This Row],[Dane posortowane]],$L$2,$L$3)</f>
        <v>0.47350476039245271</v>
      </c>
    </row>
    <row r="42" spans="1:7" x14ac:dyDescent="0.2">
      <c r="A42" s="1">
        <v>41</v>
      </c>
      <c r="B42" s="1">
        <v>0.19</v>
      </c>
      <c r="C42" s="1">
        <v>0.191</v>
      </c>
      <c r="D42" s="1">
        <f>LN(Tabela1[[#This Row],[Dane posortowane]])</f>
        <v>-1.6554818509355071</v>
      </c>
      <c r="E42" s="1">
        <f>Tabela1[[#This Row],[Nr.]]/($L$1+1)</f>
        <v>0.57746478873239437</v>
      </c>
      <c r="F42" s="1">
        <f>(Tabela1[[#This Row],[Log naturalny]]-$L$2)/$L$3</f>
        <v>0.43384407745175374</v>
      </c>
      <c r="G42" s="2">
        <f>LOGNORMDIST(Tabela1[[#This Row],[Dane posortowane]],$L$2,$L$3)</f>
        <v>0.66779916431919584</v>
      </c>
    </row>
    <row r="43" spans="1:7" x14ac:dyDescent="0.2">
      <c r="A43" s="1">
        <v>42</v>
      </c>
      <c r="B43" s="1">
        <v>0.19</v>
      </c>
      <c r="C43" s="1">
        <v>0.191</v>
      </c>
      <c r="D43" s="1">
        <f>LN(Tabela1[[#This Row],[Dane posortowane]])</f>
        <v>-1.6554818509355071</v>
      </c>
      <c r="E43" s="1">
        <f>Tabela1[[#This Row],[Nr.]]/($L$1+1)</f>
        <v>0.59154929577464788</v>
      </c>
      <c r="F43" s="1">
        <f>(Tabela1[[#This Row],[Log naturalny]]-$L$2)/$L$3</f>
        <v>0.43384407745175374</v>
      </c>
      <c r="G43" s="2">
        <f>LOGNORMDIST(Tabela1[[#This Row],[Dane posortowane]],$L$2,$L$3)</f>
        <v>0.66779916431919584</v>
      </c>
    </row>
    <row r="44" spans="1:7" x14ac:dyDescent="0.2">
      <c r="A44" s="1">
        <v>43</v>
      </c>
      <c r="B44" s="1">
        <v>0.192</v>
      </c>
      <c r="C44" s="1">
        <v>0.191</v>
      </c>
      <c r="D44" s="1">
        <f>LN(Tabela1[[#This Row],[Dane posortowane]])</f>
        <v>-1.6554818509355071</v>
      </c>
      <c r="E44" s="1">
        <f>Tabela1[[#This Row],[Nr.]]/($L$1+1)</f>
        <v>0.60563380281690138</v>
      </c>
      <c r="F44" s="1">
        <f>(Tabela1[[#This Row],[Log naturalny]]-$L$2)/$L$3</f>
        <v>0.43384407745175374</v>
      </c>
      <c r="G44" s="2">
        <f>LOGNORMDIST(Tabela1[[#This Row],[Dane posortowane]],$L$2,$L$3)</f>
        <v>0.66779916431919584</v>
      </c>
    </row>
    <row r="45" spans="1:7" x14ac:dyDescent="0.2">
      <c r="A45" s="1">
        <v>44</v>
      </c>
      <c r="B45" s="1">
        <v>0.189</v>
      </c>
      <c r="C45" s="1">
        <v>0.191</v>
      </c>
      <c r="D45" s="1">
        <f>LN(Tabela1[[#This Row],[Dane posortowane]])</f>
        <v>-1.6554818509355071</v>
      </c>
      <c r="E45" s="1">
        <f>Tabela1[[#This Row],[Nr.]]/($L$1+1)</f>
        <v>0.61971830985915488</v>
      </c>
      <c r="F45" s="1">
        <f>(Tabela1[[#This Row],[Log naturalny]]-$L$2)/$L$3</f>
        <v>0.43384407745175374</v>
      </c>
      <c r="G45" s="2">
        <f>LOGNORMDIST(Tabela1[[#This Row],[Dane posortowane]],$L$2,$L$3)</f>
        <v>0.66779916431919584</v>
      </c>
    </row>
    <row r="46" spans="1:7" x14ac:dyDescent="0.2">
      <c r="A46" s="1">
        <v>45</v>
      </c>
      <c r="B46" s="1">
        <v>0.19400000000000001</v>
      </c>
      <c r="C46" s="1">
        <v>0.191</v>
      </c>
      <c r="D46" s="1">
        <f>LN(Tabela1[[#This Row],[Dane posortowane]])</f>
        <v>-1.6554818509355071</v>
      </c>
      <c r="E46" s="1">
        <f>Tabela1[[#This Row],[Nr.]]/($L$1+1)</f>
        <v>0.63380281690140849</v>
      </c>
      <c r="F46" s="1">
        <f>(Tabela1[[#This Row],[Log naturalny]]-$L$2)/$L$3</f>
        <v>0.43384407745175374</v>
      </c>
      <c r="G46" s="2">
        <f>LOGNORMDIST(Tabela1[[#This Row],[Dane posortowane]],$L$2,$L$3)</f>
        <v>0.66779916431919584</v>
      </c>
    </row>
    <row r="47" spans="1:7" x14ac:dyDescent="0.2">
      <c r="A47" s="1">
        <v>46</v>
      </c>
      <c r="B47" s="1">
        <v>0.191</v>
      </c>
      <c r="C47" s="1">
        <v>0.191</v>
      </c>
      <c r="D47" s="1">
        <f>LN(Tabela1[[#This Row],[Dane posortowane]])</f>
        <v>-1.6554818509355071</v>
      </c>
      <c r="E47" s="1">
        <f>Tabela1[[#This Row],[Nr.]]/($L$1+1)</f>
        <v>0.647887323943662</v>
      </c>
      <c r="F47" s="1">
        <f>(Tabela1[[#This Row],[Log naturalny]]-$L$2)/$L$3</f>
        <v>0.43384407745175374</v>
      </c>
      <c r="G47" s="2">
        <f>LOGNORMDIST(Tabela1[[#This Row],[Dane posortowane]],$L$2,$L$3)</f>
        <v>0.66779916431919584</v>
      </c>
    </row>
    <row r="48" spans="1:7" x14ac:dyDescent="0.2">
      <c r="A48" s="1">
        <v>47</v>
      </c>
      <c r="B48" s="1">
        <v>0.192</v>
      </c>
      <c r="C48" s="1">
        <v>0.191</v>
      </c>
      <c r="D48" s="1">
        <f>LN(Tabela1[[#This Row],[Dane posortowane]])</f>
        <v>-1.6554818509355071</v>
      </c>
      <c r="E48" s="1">
        <f>Tabela1[[#This Row],[Nr.]]/($L$1+1)</f>
        <v>0.6619718309859155</v>
      </c>
      <c r="F48" s="1">
        <f>(Tabela1[[#This Row],[Log naturalny]]-$L$2)/$L$3</f>
        <v>0.43384407745175374</v>
      </c>
      <c r="G48" s="2">
        <f>LOGNORMDIST(Tabela1[[#This Row],[Dane posortowane]],$L$2,$L$3)</f>
        <v>0.66779916431919584</v>
      </c>
    </row>
    <row r="49" spans="1:7" x14ac:dyDescent="0.2">
      <c r="A49" s="1">
        <v>48</v>
      </c>
      <c r="B49" s="1">
        <v>0.191</v>
      </c>
      <c r="C49" s="1">
        <v>0.191</v>
      </c>
      <c r="D49" s="1">
        <f>LN(Tabela1[[#This Row],[Dane posortowane]])</f>
        <v>-1.6554818509355071</v>
      </c>
      <c r="E49" s="1">
        <f>Tabela1[[#This Row],[Nr.]]/($L$1+1)</f>
        <v>0.676056338028169</v>
      </c>
      <c r="F49" s="1">
        <f>(Tabela1[[#This Row],[Log naturalny]]-$L$2)/$L$3</f>
        <v>0.43384407745175374</v>
      </c>
      <c r="G49" s="2">
        <f>LOGNORMDIST(Tabela1[[#This Row],[Dane posortowane]],$L$2,$L$3)</f>
        <v>0.66779916431919584</v>
      </c>
    </row>
    <row r="50" spans="1:7" x14ac:dyDescent="0.2">
      <c r="A50" s="1">
        <v>49</v>
      </c>
      <c r="B50" s="1">
        <v>0.189</v>
      </c>
      <c r="C50" s="1">
        <v>0.191</v>
      </c>
      <c r="D50" s="1">
        <f>LN(Tabela1[[#This Row],[Dane posortowane]])</f>
        <v>-1.6554818509355071</v>
      </c>
      <c r="E50" s="1">
        <f>Tabela1[[#This Row],[Nr.]]/($L$1+1)</f>
        <v>0.6901408450704225</v>
      </c>
      <c r="F50" s="1">
        <f>(Tabela1[[#This Row],[Log naturalny]]-$L$2)/$L$3</f>
        <v>0.43384407745175374</v>
      </c>
      <c r="G50" s="2">
        <f>LOGNORMDIST(Tabela1[[#This Row],[Dane posortowane]],$L$2,$L$3)</f>
        <v>0.66779916431919584</v>
      </c>
    </row>
    <row r="51" spans="1:7" x14ac:dyDescent="0.2">
      <c r="A51" s="1">
        <v>50</v>
      </c>
      <c r="B51" s="1">
        <v>0.189</v>
      </c>
      <c r="C51" s="1">
        <v>0.191</v>
      </c>
      <c r="D51" s="1">
        <f>LN(Tabela1[[#This Row],[Dane posortowane]])</f>
        <v>-1.6554818509355071</v>
      </c>
      <c r="E51" s="1">
        <f>Tabela1[[#This Row],[Nr.]]/($L$1+1)</f>
        <v>0.70422535211267601</v>
      </c>
      <c r="F51" s="1">
        <f>(Tabela1[[#This Row],[Log naturalny]]-$L$2)/$L$3</f>
        <v>0.43384407745175374</v>
      </c>
      <c r="G51" s="2">
        <f>LOGNORMDIST(Tabela1[[#This Row],[Dane posortowane]],$L$2,$L$3)</f>
        <v>0.66779916431919584</v>
      </c>
    </row>
    <row r="52" spans="1:7" x14ac:dyDescent="0.2">
      <c r="A52" s="1">
        <v>51</v>
      </c>
      <c r="B52" s="1">
        <v>0.189</v>
      </c>
      <c r="C52" s="1">
        <v>0.191</v>
      </c>
      <c r="D52" s="1">
        <f>LN(Tabela1[[#This Row],[Dane posortowane]])</f>
        <v>-1.6554818509355071</v>
      </c>
      <c r="E52" s="1">
        <f>Tabela1[[#This Row],[Nr.]]/($L$1+1)</f>
        <v>0.71830985915492962</v>
      </c>
      <c r="F52" s="1">
        <f>(Tabela1[[#This Row],[Log naturalny]]-$L$2)/$L$3</f>
        <v>0.43384407745175374</v>
      </c>
      <c r="G52" s="2">
        <f>LOGNORMDIST(Tabela1[[#This Row],[Dane posortowane]],$L$2,$L$3)</f>
        <v>0.66779916431919584</v>
      </c>
    </row>
    <row r="53" spans="1:7" x14ac:dyDescent="0.2">
      <c r="A53" s="1">
        <v>52</v>
      </c>
      <c r="B53" s="1">
        <v>0.187</v>
      </c>
      <c r="C53" s="1">
        <v>0.191</v>
      </c>
      <c r="D53" s="1">
        <f>LN(Tabela1[[#This Row],[Dane posortowane]])</f>
        <v>-1.6554818509355071</v>
      </c>
      <c r="E53" s="1">
        <f>Tabela1[[#This Row],[Nr.]]/($L$1+1)</f>
        <v>0.73239436619718312</v>
      </c>
      <c r="F53" s="1">
        <f>(Tabela1[[#This Row],[Log naturalny]]-$L$2)/$L$3</f>
        <v>0.43384407745175374</v>
      </c>
      <c r="G53" s="2">
        <f>LOGNORMDIST(Tabela1[[#This Row],[Dane posortowane]],$L$2,$L$3)</f>
        <v>0.66779916431919584</v>
      </c>
    </row>
    <row r="54" spans="1:7" x14ac:dyDescent="0.2">
      <c r="A54" s="1">
        <v>53</v>
      </c>
      <c r="B54" s="1">
        <v>0.191</v>
      </c>
      <c r="C54" s="1">
        <v>0.191</v>
      </c>
      <c r="D54" s="1">
        <f>LN(Tabela1[[#This Row],[Dane posortowane]])</f>
        <v>-1.6554818509355071</v>
      </c>
      <c r="E54" s="1">
        <f>Tabela1[[#This Row],[Nr.]]/($L$1+1)</f>
        <v>0.74647887323943662</v>
      </c>
      <c r="F54" s="1">
        <f>(Tabela1[[#This Row],[Log naturalny]]-$L$2)/$L$3</f>
        <v>0.43384407745175374</v>
      </c>
      <c r="G54" s="2">
        <f>LOGNORMDIST(Tabela1[[#This Row],[Dane posortowane]],$L$2,$L$3)</f>
        <v>0.66779916431919584</v>
      </c>
    </row>
    <row r="55" spans="1:7" x14ac:dyDescent="0.2">
      <c r="A55" s="1">
        <v>54</v>
      </c>
      <c r="B55" s="1">
        <v>0.191</v>
      </c>
      <c r="C55" s="1">
        <v>0.192</v>
      </c>
      <c r="D55" s="1">
        <f>LN(Tabela1[[#This Row],[Dane posortowane]])</f>
        <v>-1.6502599069543555</v>
      </c>
      <c r="E55" s="1">
        <f>Tabela1[[#This Row],[Nr.]]/($L$1+1)</f>
        <v>0.76056338028169013</v>
      </c>
      <c r="F55" s="1">
        <f>(Tabela1[[#This Row],[Log naturalny]]-$L$2)/$L$3</f>
        <v>0.93153819040795904</v>
      </c>
      <c r="G55" s="2">
        <f>LOGNORMDIST(Tabela1[[#This Row],[Dane posortowane]],$L$2,$L$3)</f>
        <v>0.82421238048606882</v>
      </c>
    </row>
    <row r="56" spans="1:7" x14ac:dyDescent="0.2">
      <c r="A56" s="1">
        <v>55</v>
      </c>
      <c r="B56" s="1">
        <v>0.189</v>
      </c>
      <c r="C56" s="1">
        <v>0.192</v>
      </c>
      <c r="D56" s="1">
        <f>LN(Tabela1[[#This Row],[Dane posortowane]])</f>
        <v>-1.6502599069543555</v>
      </c>
      <c r="E56" s="1">
        <f>Tabela1[[#This Row],[Nr.]]/($L$1+1)</f>
        <v>0.77464788732394363</v>
      </c>
      <c r="F56" s="1">
        <f>(Tabela1[[#This Row],[Log naturalny]]-$L$2)/$L$3</f>
        <v>0.93153819040795904</v>
      </c>
      <c r="G56" s="2">
        <f>LOGNORMDIST(Tabela1[[#This Row],[Dane posortowane]],$L$2,$L$3)</f>
        <v>0.82421238048606882</v>
      </c>
    </row>
    <row r="57" spans="1:7" x14ac:dyDescent="0.2">
      <c r="A57" s="1">
        <v>56</v>
      </c>
      <c r="B57" s="1">
        <v>0.19</v>
      </c>
      <c r="C57" s="1">
        <v>0.192</v>
      </c>
      <c r="D57" s="1">
        <f>LN(Tabela1[[#This Row],[Dane posortowane]])</f>
        <v>-1.6502599069543555</v>
      </c>
      <c r="E57" s="1">
        <f>Tabela1[[#This Row],[Nr.]]/($L$1+1)</f>
        <v>0.78873239436619713</v>
      </c>
      <c r="F57" s="1">
        <f>(Tabela1[[#This Row],[Log naturalny]]-$L$2)/$L$3</f>
        <v>0.93153819040795904</v>
      </c>
      <c r="G57" s="2">
        <f>LOGNORMDIST(Tabela1[[#This Row],[Dane posortowane]],$L$2,$L$3)</f>
        <v>0.82421238048606882</v>
      </c>
    </row>
    <row r="58" spans="1:7" x14ac:dyDescent="0.2">
      <c r="A58" s="1">
        <v>57</v>
      </c>
      <c r="B58" s="1">
        <v>0.191</v>
      </c>
      <c r="C58" s="1">
        <v>0.192</v>
      </c>
      <c r="D58" s="1">
        <f>LN(Tabela1[[#This Row],[Dane posortowane]])</f>
        <v>-1.6502599069543555</v>
      </c>
      <c r="E58" s="1">
        <f>Tabela1[[#This Row],[Nr.]]/($L$1+1)</f>
        <v>0.80281690140845074</v>
      </c>
      <c r="F58" s="1">
        <f>(Tabela1[[#This Row],[Log naturalny]]-$L$2)/$L$3</f>
        <v>0.93153819040795904</v>
      </c>
      <c r="G58" s="2">
        <f>LOGNORMDIST(Tabela1[[#This Row],[Dane posortowane]],$L$2,$L$3)</f>
        <v>0.82421238048606882</v>
      </c>
    </row>
    <row r="59" spans="1:7" x14ac:dyDescent="0.2">
      <c r="A59" s="1">
        <v>58</v>
      </c>
      <c r="B59" s="1">
        <v>0.187</v>
      </c>
      <c r="C59" s="1">
        <v>0.192</v>
      </c>
      <c r="D59" s="1">
        <f>LN(Tabela1[[#This Row],[Dane posortowane]])</f>
        <v>-1.6502599069543555</v>
      </c>
      <c r="E59" s="1">
        <f>Tabela1[[#This Row],[Nr.]]/($L$1+1)</f>
        <v>0.81690140845070425</v>
      </c>
      <c r="F59" s="1">
        <f>(Tabela1[[#This Row],[Log naturalny]]-$L$2)/$L$3</f>
        <v>0.93153819040795904</v>
      </c>
      <c r="G59" s="2">
        <f>LOGNORMDIST(Tabela1[[#This Row],[Dane posortowane]],$L$2,$L$3)</f>
        <v>0.82421238048606882</v>
      </c>
    </row>
    <row r="60" spans="1:7" x14ac:dyDescent="0.2">
      <c r="A60" s="1">
        <v>59</v>
      </c>
      <c r="B60" s="1">
        <v>0.187</v>
      </c>
      <c r="C60" s="1">
        <v>0.192</v>
      </c>
      <c r="D60" s="1">
        <f>LN(Tabela1[[#This Row],[Dane posortowane]])</f>
        <v>-1.6502599069543555</v>
      </c>
      <c r="E60" s="1">
        <f>Tabela1[[#This Row],[Nr.]]/($L$1+1)</f>
        <v>0.83098591549295775</v>
      </c>
      <c r="F60" s="1">
        <f>(Tabela1[[#This Row],[Log naturalny]]-$L$2)/$L$3</f>
        <v>0.93153819040795904</v>
      </c>
      <c r="G60" s="2">
        <f>LOGNORMDIST(Tabela1[[#This Row],[Dane posortowane]],$L$2,$L$3)</f>
        <v>0.82421238048606882</v>
      </c>
    </row>
    <row r="61" spans="1:7" x14ac:dyDescent="0.2">
      <c r="A61" s="1">
        <v>60</v>
      </c>
      <c r="B61" s="1">
        <v>0.193</v>
      </c>
      <c r="C61" s="1">
        <v>0.192</v>
      </c>
      <c r="D61" s="1">
        <f>LN(Tabela1[[#This Row],[Dane posortowane]])</f>
        <v>-1.6502599069543555</v>
      </c>
      <c r="E61" s="1">
        <f>Tabela1[[#This Row],[Nr.]]/($L$1+1)</f>
        <v>0.84507042253521125</v>
      </c>
      <c r="F61" s="1">
        <f>(Tabela1[[#This Row],[Log naturalny]]-$L$2)/$L$3</f>
        <v>0.93153819040795904</v>
      </c>
      <c r="G61" s="2">
        <f>LOGNORMDIST(Tabela1[[#This Row],[Dane posortowane]],$L$2,$L$3)</f>
        <v>0.82421238048606882</v>
      </c>
    </row>
    <row r="62" spans="1:7" x14ac:dyDescent="0.2">
      <c r="A62" s="1">
        <v>61</v>
      </c>
      <c r="B62" s="1">
        <v>0.19</v>
      </c>
      <c r="C62" s="1">
        <v>0.192</v>
      </c>
      <c r="D62" s="1">
        <f>LN(Tabela1[[#This Row],[Dane posortowane]])</f>
        <v>-1.6502599069543555</v>
      </c>
      <c r="E62" s="1">
        <f>Tabela1[[#This Row],[Nr.]]/($L$1+1)</f>
        <v>0.85915492957746475</v>
      </c>
      <c r="F62" s="1">
        <f>(Tabela1[[#This Row],[Log naturalny]]-$L$2)/$L$3</f>
        <v>0.93153819040795904</v>
      </c>
      <c r="G62" s="2">
        <f>LOGNORMDIST(Tabela1[[#This Row],[Dane posortowane]],$L$2,$L$3)</f>
        <v>0.82421238048606882</v>
      </c>
    </row>
    <row r="63" spans="1:7" x14ac:dyDescent="0.2">
      <c r="A63" s="1">
        <v>62</v>
      </c>
      <c r="B63" s="1">
        <v>0.192</v>
      </c>
      <c r="C63" s="1">
        <v>0.193</v>
      </c>
      <c r="D63" s="1">
        <f>LN(Tabela1[[#This Row],[Dane posortowane]])</f>
        <v>-1.6450650900772514</v>
      </c>
      <c r="E63" s="1">
        <f>Tabela1[[#This Row],[Nr.]]/($L$1+1)</f>
        <v>0.87323943661971826</v>
      </c>
      <c r="F63" s="1">
        <f>(Tabela1[[#This Row],[Log naturalny]]-$L$2)/$L$3</f>
        <v>1.4266468677419657</v>
      </c>
      <c r="G63" s="2">
        <f>LOGNORMDIST(Tabela1[[#This Row],[Dane posortowane]],$L$2,$L$3)</f>
        <v>0.92315914613713501</v>
      </c>
    </row>
    <row r="64" spans="1:7" x14ac:dyDescent="0.2">
      <c r="A64" s="1">
        <v>63</v>
      </c>
      <c r="B64" s="1">
        <v>0.191</v>
      </c>
      <c r="C64" s="1">
        <v>0.193</v>
      </c>
      <c r="D64" s="1">
        <f>LN(Tabela1[[#This Row],[Dane posortowane]])</f>
        <v>-1.6450650900772514</v>
      </c>
      <c r="E64" s="1">
        <f>Tabela1[[#This Row],[Nr.]]/($L$1+1)</f>
        <v>0.88732394366197187</v>
      </c>
      <c r="F64" s="1">
        <f>(Tabela1[[#This Row],[Log naturalny]]-$L$2)/$L$3</f>
        <v>1.4266468677419657</v>
      </c>
      <c r="G64" s="2">
        <f>LOGNORMDIST(Tabela1[[#This Row],[Dane posortowane]],$L$2,$L$3)</f>
        <v>0.92315914613713501</v>
      </c>
    </row>
    <row r="65" spans="1:7" x14ac:dyDescent="0.2">
      <c r="A65" s="1">
        <v>64</v>
      </c>
      <c r="B65" s="1">
        <v>0.188</v>
      </c>
      <c r="C65" s="1">
        <v>0.193</v>
      </c>
      <c r="D65" s="1">
        <f>LN(Tabela1[[#This Row],[Dane posortowane]])</f>
        <v>-1.6450650900772514</v>
      </c>
      <c r="E65" s="1">
        <f>Tabela1[[#This Row],[Nr.]]/($L$1+1)</f>
        <v>0.90140845070422537</v>
      </c>
      <c r="F65" s="1">
        <f>(Tabela1[[#This Row],[Log naturalny]]-$L$2)/$L$3</f>
        <v>1.4266468677419657</v>
      </c>
      <c r="G65" s="2">
        <f>LOGNORMDIST(Tabela1[[#This Row],[Dane posortowane]],$L$2,$L$3)</f>
        <v>0.92315914613713501</v>
      </c>
    </row>
    <row r="66" spans="1:7" x14ac:dyDescent="0.2">
      <c r="A66" s="1">
        <v>65</v>
      </c>
      <c r="B66" s="1">
        <v>0.187</v>
      </c>
      <c r="C66" s="1">
        <v>0.193</v>
      </c>
      <c r="D66" s="1">
        <f>LN(Tabela1[[#This Row],[Dane posortowane]])</f>
        <v>-1.6450650900772514</v>
      </c>
      <c r="E66" s="1">
        <f>Tabela1[[#This Row],[Nr.]]/($L$1+1)</f>
        <v>0.91549295774647887</v>
      </c>
      <c r="F66" s="1">
        <f>(Tabela1[[#This Row],[Log naturalny]]-$L$2)/$L$3</f>
        <v>1.4266468677419657</v>
      </c>
      <c r="G66" s="2">
        <f>LOGNORMDIST(Tabela1[[#This Row],[Dane posortowane]],$L$2,$L$3)</f>
        <v>0.92315914613713501</v>
      </c>
    </row>
    <row r="67" spans="1:7" x14ac:dyDescent="0.2">
      <c r="A67" s="1">
        <v>66</v>
      </c>
      <c r="B67" s="1">
        <v>0.191</v>
      </c>
      <c r="C67" s="1">
        <v>0.193</v>
      </c>
      <c r="D67" s="1">
        <f>LN(Tabela1[[#This Row],[Dane posortowane]])</f>
        <v>-1.6450650900772514</v>
      </c>
      <c r="E67" s="1">
        <f>Tabela1[[#This Row],[Nr.]]/($L$1+1)</f>
        <v>0.92957746478873238</v>
      </c>
      <c r="F67" s="1">
        <f>(Tabela1[[#This Row],[Log naturalny]]-$L$2)/$L$3</f>
        <v>1.4266468677419657</v>
      </c>
      <c r="G67" s="2">
        <f>LOGNORMDIST(Tabela1[[#This Row],[Dane posortowane]],$L$2,$L$3)</f>
        <v>0.92315914613713501</v>
      </c>
    </row>
    <row r="68" spans="1:7" x14ac:dyDescent="0.2">
      <c r="A68" s="1">
        <v>67</v>
      </c>
      <c r="B68" s="1">
        <v>0.19</v>
      </c>
      <c r="C68" s="1">
        <v>0.19400000000000001</v>
      </c>
      <c r="D68" s="1">
        <f>LN(Tabela1[[#This Row],[Dane posortowane]])</f>
        <v>-1.6398971199188088</v>
      </c>
      <c r="E68" s="1">
        <f>Tabela1[[#This Row],[Nr.]]/($L$1+1)</f>
        <v>0.94366197183098588</v>
      </c>
      <c r="F68" s="1">
        <f>(Tabela1[[#This Row],[Log naturalny]]-$L$2)/$L$3</f>
        <v>1.9191968324819189</v>
      </c>
      <c r="G68" s="2">
        <f>LOGNORMDIST(Tabela1[[#This Row],[Dane posortowane]],$L$2,$L$3)</f>
        <v>0.97252028587153694</v>
      </c>
    </row>
    <row r="69" spans="1:7" x14ac:dyDescent="0.2">
      <c r="A69" s="1">
        <v>68</v>
      </c>
      <c r="B69" s="1">
        <v>0.192</v>
      </c>
      <c r="C69" s="1">
        <v>0.19400000000000001</v>
      </c>
      <c r="D69" s="1">
        <f>LN(Tabela1[[#This Row],[Dane posortowane]])</f>
        <v>-1.6398971199188088</v>
      </c>
      <c r="E69" s="1">
        <f>Tabela1[[#This Row],[Nr.]]/($L$1+1)</f>
        <v>0.95774647887323938</v>
      </c>
      <c r="F69" s="1">
        <f>(Tabela1[[#This Row],[Log naturalny]]-$L$2)/$L$3</f>
        <v>1.9191968324819189</v>
      </c>
      <c r="G69" s="2">
        <f>LOGNORMDIST(Tabela1[[#This Row],[Dane posortowane]],$L$2,$L$3)</f>
        <v>0.97252028587153694</v>
      </c>
    </row>
    <row r="70" spans="1:7" x14ac:dyDescent="0.2">
      <c r="A70" s="1">
        <v>69</v>
      </c>
      <c r="B70" s="1">
        <v>0.188</v>
      </c>
      <c r="C70" s="1">
        <v>0.19400000000000001</v>
      </c>
      <c r="D70" s="1">
        <f>LN(Tabela1[[#This Row],[Dane posortowane]])</f>
        <v>-1.6398971199188088</v>
      </c>
      <c r="E70" s="1">
        <f>Tabela1[[#This Row],[Nr.]]/($L$1+1)</f>
        <v>0.971830985915493</v>
      </c>
      <c r="F70" s="1">
        <f>(Tabela1[[#This Row],[Log naturalny]]-$L$2)/$L$3</f>
        <v>1.9191968324819189</v>
      </c>
      <c r="G70" s="2">
        <f>LOGNORMDIST(Tabela1[[#This Row],[Dane posortowane]],$L$2,$L$3)</f>
        <v>0.97252028587153694</v>
      </c>
    </row>
    <row r="71" spans="1:7" x14ac:dyDescent="0.2">
      <c r="A71" s="1">
        <v>70</v>
      </c>
      <c r="B71" s="1">
        <v>0.189</v>
      </c>
      <c r="C71" s="1">
        <v>0.19400000000000001</v>
      </c>
      <c r="D71" s="1">
        <f>LN(Tabela1[[#This Row],[Dane posortowane]])</f>
        <v>-1.6398971199188088</v>
      </c>
      <c r="E71" s="1">
        <f>Tabela1[[#This Row],[Nr.]]/($L$1+1)</f>
        <v>0.9859154929577465</v>
      </c>
      <c r="F71" s="1">
        <f>(Tabela1[[#This Row],[Log naturalny]]-$L$2)/$L$3</f>
        <v>1.9191968324819189</v>
      </c>
      <c r="G71" s="2">
        <f>LOGNORMDIST(Tabela1[[#This Row],[Dane posortowane]],$L$2,$L$3)</f>
        <v>0.97252028587153694</v>
      </c>
    </row>
  </sheetData>
  <sortState xmlns:xlrd2="http://schemas.microsoft.com/office/spreadsheetml/2017/richdata2" ref="C2:C71">
    <sortCondition ref="C2:C71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Ludwiczak</dc:creator>
  <cp:lastModifiedBy>Adam Ludwiczak</cp:lastModifiedBy>
  <dcterms:created xsi:type="dcterms:W3CDTF">2022-01-30T11:18:49Z</dcterms:created>
  <dcterms:modified xsi:type="dcterms:W3CDTF">2022-01-30T15:22:50Z</dcterms:modified>
</cp:coreProperties>
</file>