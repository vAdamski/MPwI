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ludwiczak/Desktop/"/>
    </mc:Choice>
  </mc:AlternateContent>
  <xr:revisionPtr revIDLastSave="0" documentId="13_ncr:1_{E73AC2AF-98C3-3445-B377-8DF8E72156A2}" xr6:coauthVersionLast="47" xr6:coauthVersionMax="47" xr10:uidLastSave="{00000000-0000-0000-0000-000000000000}"/>
  <bookViews>
    <workbookView xWindow="0" yWindow="0" windowWidth="33600" windowHeight="21000" xr2:uid="{3B43A888-33EA-44F8-A34A-A82C27398E08}"/>
  </bookViews>
  <sheets>
    <sheet name="Arkusz2" sheetId="2" r:id="rId1"/>
    <sheet name="Arkusz1" sheetId="1" r:id="rId2"/>
  </sheets>
  <definedNames>
    <definedName name="DaneZewnętrzne_1" localSheetId="0" hidden="1">Arkusz2!$B$1:$B$72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7" i="2" l="1"/>
  <c r="K37" i="2"/>
  <c r="K3" i="2"/>
  <c r="D5" i="2" s="1"/>
  <c r="K2" i="2"/>
  <c r="C2" i="2" s="1"/>
  <c r="D4" i="2" l="1"/>
  <c r="F4" i="2"/>
  <c r="C69" i="2"/>
  <c r="C65" i="2"/>
  <c r="C61" i="2"/>
  <c r="C57" i="2"/>
  <c r="C53" i="2"/>
  <c r="C49" i="2"/>
  <c r="C45" i="2"/>
  <c r="C41" i="2"/>
  <c r="C37" i="2"/>
  <c r="C33" i="2"/>
  <c r="C29" i="2"/>
  <c r="C25" i="2"/>
  <c r="C21" i="2"/>
  <c r="C17" i="2"/>
  <c r="C13" i="2"/>
  <c r="C9" i="2"/>
  <c r="C5" i="2"/>
  <c r="D72" i="2"/>
  <c r="D68" i="2"/>
  <c r="D64" i="2"/>
  <c r="D60" i="2"/>
  <c r="D56" i="2"/>
  <c r="F55" i="2" s="1"/>
  <c r="D52" i="2"/>
  <c r="D48" i="2"/>
  <c r="D44" i="2"/>
  <c r="D40" i="2"/>
  <c r="F39" i="2" s="1"/>
  <c r="D36" i="2"/>
  <c r="D32" i="2"/>
  <c r="D28" i="2"/>
  <c r="D24" i="2"/>
  <c r="F23" i="2" s="1"/>
  <c r="D20" i="2"/>
  <c r="D16" i="2"/>
  <c r="D12" i="2"/>
  <c r="D8" i="2"/>
  <c r="F7" i="2" s="1"/>
  <c r="C66" i="2"/>
  <c r="C54" i="2"/>
  <c r="C42" i="2"/>
  <c r="C68" i="2"/>
  <c r="E68" i="2" s="1"/>
  <c r="C56" i="2"/>
  <c r="E56" i="2" s="1"/>
  <c r="C48" i="2"/>
  <c r="C40" i="2"/>
  <c r="E40" i="2" s="1"/>
  <c r="C32" i="2"/>
  <c r="E32" i="2" s="1"/>
  <c r="C20" i="2"/>
  <c r="E20" i="2" s="1"/>
  <c r="C8" i="2"/>
  <c r="E8" i="2" s="1"/>
  <c r="D71" i="2"/>
  <c r="D67" i="2"/>
  <c r="F66" i="2" s="1"/>
  <c r="D59" i="2"/>
  <c r="D55" i="2"/>
  <c r="D51" i="2"/>
  <c r="D47" i="2"/>
  <c r="F46" i="2" s="1"/>
  <c r="D43" i="2"/>
  <c r="D39" i="2"/>
  <c r="D35" i="2"/>
  <c r="D31" i="2"/>
  <c r="F30" i="2" s="1"/>
  <c r="D27" i="2"/>
  <c r="D23" i="2"/>
  <c r="D19" i="2"/>
  <c r="D15" i="2"/>
  <c r="F14" i="2" s="1"/>
  <c r="D11" i="2"/>
  <c r="D7" i="2"/>
  <c r="D3" i="2"/>
  <c r="C62" i="2"/>
  <c r="E62" i="2" s="1"/>
  <c r="C50" i="2"/>
  <c r="C38" i="2"/>
  <c r="C72" i="2"/>
  <c r="E72" i="2" s="1"/>
  <c r="C64" i="2"/>
  <c r="E64" i="2" s="1"/>
  <c r="C60" i="2"/>
  <c r="C52" i="2"/>
  <c r="E52" i="2" s="1"/>
  <c r="C44" i="2"/>
  <c r="C36" i="2"/>
  <c r="E36" i="2" s="1"/>
  <c r="C28" i="2"/>
  <c r="C24" i="2"/>
  <c r="E24" i="2" s="1"/>
  <c r="C16" i="2"/>
  <c r="E16" i="2" s="1"/>
  <c r="C12" i="2"/>
  <c r="E12" i="2" s="1"/>
  <c r="C4" i="2"/>
  <c r="E4" i="2" s="1"/>
  <c r="D63" i="2"/>
  <c r="C71" i="2"/>
  <c r="C67" i="2"/>
  <c r="E67" i="2" s="1"/>
  <c r="C63" i="2"/>
  <c r="C59" i="2"/>
  <c r="C55" i="2"/>
  <c r="E55" i="2" s="1"/>
  <c r="C51" i="2"/>
  <c r="E51" i="2" s="1"/>
  <c r="C47" i="2"/>
  <c r="E47" i="2" s="1"/>
  <c r="C43" i="2"/>
  <c r="C39" i="2"/>
  <c r="E39" i="2" s="1"/>
  <c r="C35" i="2"/>
  <c r="E35" i="2" s="1"/>
  <c r="C31" i="2"/>
  <c r="C27" i="2"/>
  <c r="C23" i="2"/>
  <c r="E23" i="2" s="1"/>
  <c r="C19" i="2"/>
  <c r="E19" i="2" s="1"/>
  <c r="C15" i="2"/>
  <c r="C11" i="2"/>
  <c r="C7" i="2"/>
  <c r="E7" i="2" s="1"/>
  <c r="C3" i="2"/>
  <c r="E3" i="2" s="1"/>
  <c r="D70" i="2"/>
  <c r="D66" i="2"/>
  <c r="D62" i="2"/>
  <c r="D58" i="2"/>
  <c r="F57" i="2" s="1"/>
  <c r="D54" i="2"/>
  <c r="D50" i="2"/>
  <c r="D46" i="2"/>
  <c r="D42" i="2"/>
  <c r="F41" i="2" s="1"/>
  <c r="D38" i="2"/>
  <c r="D34" i="2"/>
  <c r="D30" i="2"/>
  <c r="D26" i="2"/>
  <c r="F25" i="2" s="1"/>
  <c r="D22" i="2"/>
  <c r="D18" i="2"/>
  <c r="D14" i="2"/>
  <c r="D10" i="2"/>
  <c r="F9" i="2" s="1"/>
  <c r="D6" i="2"/>
  <c r="F5" i="2" s="1"/>
  <c r="D2" i="2"/>
  <c r="C70" i="2"/>
  <c r="E70" i="2" s="1"/>
  <c r="C58" i="2"/>
  <c r="E58" i="2" s="1"/>
  <c r="C46" i="2"/>
  <c r="E46" i="2" s="1"/>
  <c r="C34" i="2"/>
  <c r="C30" i="2"/>
  <c r="E30" i="2" s="1"/>
  <c r="C26" i="2"/>
  <c r="E26" i="2" s="1"/>
  <c r="C22" i="2"/>
  <c r="C18" i="2"/>
  <c r="C14" i="2"/>
  <c r="E14" i="2" s="1"/>
  <c r="C10" i="2"/>
  <c r="E10" i="2" s="1"/>
  <c r="C6" i="2"/>
  <c r="D69" i="2"/>
  <c r="F68" i="2" s="1"/>
  <c r="D65" i="2"/>
  <c r="F64" i="2" s="1"/>
  <c r="D61" i="2"/>
  <c r="F60" i="2" s="1"/>
  <c r="D57" i="2"/>
  <c r="D53" i="2"/>
  <c r="F52" i="2" s="1"/>
  <c r="D49" i="2"/>
  <c r="F48" i="2" s="1"/>
  <c r="D45" i="2"/>
  <c r="F44" i="2" s="1"/>
  <c r="D41" i="2"/>
  <c r="D37" i="2"/>
  <c r="F36" i="2" s="1"/>
  <c r="D33" i="2"/>
  <c r="F32" i="2" s="1"/>
  <c r="D29" i="2"/>
  <c r="F28" i="2" s="1"/>
  <c r="D25" i="2"/>
  <c r="D21" i="2"/>
  <c r="F20" i="2" s="1"/>
  <c r="D17" i="2"/>
  <c r="F16" i="2" s="1"/>
  <c r="D13" i="2"/>
  <c r="F12" i="2" s="1"/>
  <c r="D9" i="2"/>
  <c r="F71" i="2" l="1"/>
  <c r="F72" i="2"/>
  <c r="E17" i="2"/>
  <c r="E33" i="2"/>
  <c r="E49" i="2"/>
  <c r="E65" i="2"/>
  <c r="F2" i="2"/>
  <c r="M44" i="2" s="1"/>
  <c r="F18" i="2"/>
  <c r="F34" i="2"/>
  <c r="F50" i="2"/>
  <c r="F70" i="2"/>
  <c r="E42" i="2"/>
  <c r="F11" i="2"/>
  <c r="F27" i="2"/>
  <c r="F43" i="2"/>
  <c r="F59" i="2"/>
  <c r="F13" i="2"/>
  <c r="F61" i="2"/>
  <c r="E71" i="2"/>
  <c r="F17" i="2"/>
  <c r="F33" i="2"/>
  <c r="F49" i="2"/>
  <c r="F65" i="2"/>
  <c r="F62" i="2"/>
  <c r="F6" i="2"/>
  <c r="F22" i="2"/>
  <c r="F38" i="2"/>
  <c r="F54" i="2"/>
  <c r="F15" i="2"/>
  <c r="F31" i="2"/>
  <c r="F47" i="2"/>
  <c r="F63" i="2"/>
  <c r="F29" i="2"/>
  <c r="F45" i="2"/>
  <c r="F8" i="2"/>
  <c r="F24" i="2"/>
  <c r="F40" i="2"/>
  <c r="F56" i="2"/>
  <c r="F21" i="2"/>
  <c r="F37" i="2"/>
  <c r="F53" i="2"/>
  <c r="F69" i="2"/>
  <c r="F10" i="2"/>
  <c r="F26" i="2"/>
  <c r="F42" i="2"/>
  <c r="F58" i="2"/>
  <c r="F19" i="2"/>
  <c r="F35" i="2"/>
  <c r="F51" i="2"/>
  <c r="F67" i="2"/>
  <c r="E13" i="2"/>
  <c r="E29" i="2"/>
  <c r="E45" i="2"/>
  <c r="F3" i="2"/>
  <c r="E61" i="2"/>
  <c r="E18" i="2"/>
  <c r="E34" i="2"/>
  <c r="E11" i="2"/>
  <c r="E27" i="2"/>
  <c r="E43" i="2"/>
  <c r="E59" i="2"/>
  <c r="E38" i="2"/>
  <c r="E48" i="2"/>
  <c r="E54" i="2"/>
  <c r="E5" i="2"/>
  <c r="E21" i="2"/>
  <c r="E37" i="2"/>
  <c r="E53" i="2"/>
  <c r="E69" i="2"/>
  <c r="E44" i="2"/>
  <c r="E6" i="2"/>
  <c r="E22" i="2"/>
  <c r="E15" i="2"/>
  <c r="E31" i="2"/>
  <c r="E63" i="2"/>
  <c r="E28" i="2"/>
  <c r="E60" i="2"/>
  <c r="E50" i="2"/>
  <c r="E66" i="2"/>
  <c r="E9" i="2"/>
  <c r="E25" i="2"/>
  <c r="E41" i="2"/>
  <c r="E57" i="2"/>
  <c r="E2" i="2"/>
  <c r="M38" i="2"/>
  <c r="K38" i="2"/>
  <c r="K39" i="2" s="1"/>
  <c r="K41" i="2" s="1"/>
  <c r="K44" i="2" l="1"/>
  <c r="M39" i="2"/>
  <c r="M40" i="2" s="1"/>
  <c r="K40" i="2"/>
  <c r="K43" i="2" s="1"/>
  <c r="K42" i="2" l="1"/>
  <c r="M41" i="2"/>
  <c r="M43" i="2" s="1"/>
  <c r="M4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4E3F42-39F0-4ECB-8B3F-AFD20D2ECEFE}" keepAlive="1" name="Zapytanie — dane_19" description="Połączenie z zapytaniem „dane_19” w skoroszycie." type="5" refreshedVersion="6" background="1" saveData="1">
    <dbPr connection="Provider=Microsoft.Mashup.OleDb.1;Data Source=$Workbook$;Location=dane_19;Extended Properties=&quot;&quot;" command="SELECT * FROM [dane_19]"/>
  </connection>
</connections>
</file>

<file path=xl/sharedStrings.xml><?xml version="1.0" encoding="utf-8"?>
<sst xmlns="http://schemas.openxmlformats.org/spreadsheetml/2006/main" count="28" uniqueCount="19">
  <si>
    <t>Dane wejściowe</t>
  </si>
  <si>
    <t>Wartość średnia</t>
  </si>
  <si>
    <t>Mediana</t>
  </si>
  <si>
    <t>war śr</t>
  </si>
  <si>
    <t>War med.</t>
  </si>
  <si>
    <t>Lp</t>
  </si>
  <si>
    <t>Średnia</t>
  </si>
  <si>
    <t>Ile próbek</t>
  </si>
  <si>
    <t>Ile zer</t>
  </si>
  <si>
    <t>Ile jedynek</t>
  </si>
  <si>
    <t>μ</t>
  </si>
  <si>
    <t>σ</t>
  </si>
  <si>
    <t>k1</t>
  </si>
  <si>
    <t>k2</t>
  </si>
  <si>
    <t>Seria danych</t>
  </si>
  <si>
    <t>seria damych śr</t>
  </si>
  <si>
    <t>seria danych med.</t>
  </si>
  <si>
    <t>Wniosek końcowy</t>
  </si>
  <si>
    <t>Postulat losowości jest spełniony dla średniej i mediany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</si>
</sst>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ny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dla średniej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Arkusz2!$C$2:$C$51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4-4FA6-8FCC-01C04350F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6782352"/>
        <c:axId val="570260272"/>
      </c:barChart>
      <c:catAx>
        <c:axId val="57678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</a:t>
                </a:r>
                <a:r>
                  <a:rPr lang="pl-PL" baseline="0"/>
                  <a:t> próbki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70260272"/>
        <c:crosses val="autoZero"/>
        <c:auto val="1"/>
        <c:lblAlgn val="ctr"/>
        <c:lblOffset val="100"/>
        <c:noMultiLvlLbl val="0"/>
      </c:catAx>
      <c:valAx>
        <c:axId val="5702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  <a:r>
                  <a:rPr lang="pl-PL" baseline="0"/>
                  <a:t> zmiennej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7678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dla</a:t>
            </a:r>
            <a:r>
              <a:rPr lang="pl-PL" baseline="0"/>
              <a:t> mediany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Arkusz2!$D$2:$D$51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8-491B-90AA-A1D71C275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026048"/>
        <c:axId val="543446752"/>
      </c:barChart>
      <c:catAx>
        <c:axId val="664026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</a:t>
                </a:r>
                <a:r>
                  <a:rPr lang="pl-PL" baseline="0"/>
                  <a:t> próbki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3446752"/>
        <c:crosses val="autoZero"/>
        <c:auto val="1"/>
        <c:lblAlgn val="ctr"/>
        <c:lblOffset val="100"/>
        <c:noMultiLvlLbl val="0"/>
      </c:catAx>
      <c:valAx>
        <c:axId val="54344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 zmiennej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402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376237</xdr:colOff>
      <xdr:row>3</xdr:row>
      <xdr:rowOff>157162</xdr:rowOff>
    </xdr:from>
    <xdr:to>
      <xdr:col>15</xdr:col>
      <xdr:colOff>157162</xdr:colOff>
      <xdr:row>18</xdr:row>
      <xdr:rowOff>42862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D87A199A-5936-46C2-8469-846A31395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371475</xdr:colOff>
      <xdr:row>18</xdr:row>
      <xdr:rowOff>166687</xdr:rowOff>
    </xdr:from>
    <xdr:to>
      <xdr:col>15</xdr:col>
      <xdr:colOff>152400</xdr:colOff>
      <xdr:row>33</xdr:row>
      <xdr:rowOff>52387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FDF0466F-1D3D-4A84-8660-1A4DB5253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2846562C-3F65-454A-8DD1-04923F44DFAD}" autoFormatId="16" applyNumberFormats="0" applyBorderFormats="0" applyFontFormats="0" applyPatternFormats="0" applyAlignmentFormats="0" applyWidthHeightFormats="0">
  <queryTableRefresh nextId="6" unboundColumnsRight="4">
    <queryTableFields count="5">
      <queryTableField id="1" name="Column1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BA322B-A2E4-4FFB-8965-1EFF1E9B8D3B}" name="dane_19" displayName="dane_19" ref="B1:F72" tableType="queryTable" totalsRowShown="0">
  <autoFilter ref="B1:F72" xr:uid="{77B3307C-1422-4BB6-99B9-81B204E9D5B8}"/>
  <tableColumns count="5">
    <tableColumn id="1" xr3:uid="{3A0BA5D7-5A87-4548-824C-BFE80FA5EE6B}" uniqueName="1" name="Dane wejściowe" queryTableFieldId="1"/>
    <tableColumn id="2" xr3:uid="{0505B0E6-CC72-4F21-A0E6-B2FFDE89ABDA}" uniqueName="2" name="war śr" queryTableFieldId="2" dataDxfId="3">
      <calculatedColumnFormula>IF(dane_19[[#This Row],[Dane wejściowe]]&gt;$K$2,1,0)</calculatedColumnFormula>
    </tableColumn>
    <tableColumn id="3" xr3:uid="{0342FCDA-EADF-4537-9F11-F53458FD5404}" uniqueName="3" name="War med." queryTableFieldId="3" dataDxfId="2">
      <calculatedColumnFormula>IF(dane_19[[#This Row],[Dane wejściowe]]&gt;$K$3,1,0)</calculatedColumnFormula>
    </tableColumn>
    <tableColumn id="4" xr3:uid="{BB8346C7-D51C-4663-91B1-2013B1B60E33}" uniqueName="4" name="seria damych śr" queryTableFieldId="4" dataDxfId="1">
      <calculatedColumnFormula>IF(dane_19[[#This Row],[war śr]]=C3,0,1)</calculatedColumnFormula>
    </tableColumn>
    <tableColumn id="5" xr3:uid="{BAC3C17D-5B46-419B-A322-EABA3EE599E2}" uniqueName="5" name="seria danych med." queryTableFieldId="5" dataDxfId="0">
      <calculatedColumnFormula>IF(dane_19[[#This Row],[War med.]]=D3,0,1)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9737-A4CF-4E66-9F79-890696418666}">
  <dimension ref="A1:M72"/>
  <sheetViews>
    <sheetView tabSelected="1" topLeftCell="A6" workbookViewId="0">
      <selection activeCell="H2" sqref="H2"/>
    </sheetView>
  </sheetViews>
  <sheetFormatPr baseColWidth="10" defaultColWidth="8.83203125" defaultRowHeight="15" x14ac:dyDescent="0.2"/>
  <cols>
    <col min="2" max="2" width="17.83203125" bestFit="1" customWidth="1"/>
    <col min="3" max="3" width="12" customWidth="1"/>
    <col min="4" max="5" width="15.33203125" bestFit="1" customWidth="1"/>
    <col min="6" max="6" width="19.5" bestFit="1" customWidth="1"/>
    <col min="7" max="7" width="9.83203125" bestFit="1" customWidth="1"/>
    <col min="8" max="8" width="10.83203125" bestFit="1" customWidth="1"/>
    <col min="9" max="9" width="12.33203125" customWidth="1"/>
    <col min="10" max="10" width="15.33203125" bestFit="1" customWidth="1"/>
    <col min="12" max="12" width="10.83203125" bestFit="1" customWidth="1"/>
    <col min="13" max="13" width="18.33203125" customWidth="1"/>
  </cols>
  <sheetData>
    <row r="1" spans="1:11" x14ac:dyDescent="0.2">
      <c r="A1" t="s">
        <v>5</v>
      </c>
      <c r="B1" t="s">
        <v>0</v>
      </c>
      <c r="C1" t="s">
        <v>3</v>
      </c>
      <c r="D1" t="s">
        <v>4</v>
      </c>
      <c r="E1" t="s">
        <v>15</v>
      </c>
      <c r="F1" t="s">
        <v>16</v>
      </c>
    </row>
    <row r="2" spans="1:11" x14ac:dyDescent="0.2">
      <c r="A2">
        <v>1</v>
      </c>
      <c r="B2">
        <v>0.19400000000000001</v>
      </c>
      <c r="C2">
        <f>IF(dane_19[[#This Row],[Dane wejściowe]]&gt;$K$2,1,0)</f>
        <v>1</v>
      </c>
      <c r="D2">
        <f>IF(dane_19[[#This Row],[Dane wejściowe]]&gt;$K$3,1,0)</f>
        <v>1</v>
      </c>
      <c r="E2">
        <f>IF(dane_19[[#This Row],[war śr]]=C3,0,1)</f>
        <v>0</v>
      </c>
      <c r="F2">
        <f>IF(dane_19[[#This Row],[War med.]]=D3,0,1)</f>
        <v>0</v>
      </c>
      <c r="J2" t="s">
        <v>1</v>
      </c>
      <c r="K2" s="1">
        <f>AVERAGE(B2:B71)</f>
        <v>0.1901428571428572</v>
      </c>
    </row>
    <row r="3" spans="1:11" x14ac:dyDescent="0.2">
      <c r="A3">
        <v>2</v>
      </c>
      <c r="B3">
        <v>0.193</v>
      </c>
      <c r="C3">
        <f>IF(dane_19[[#This Row],[Dane wejściowe]]&gt;$K$2,1,0)</f>
        <v>1</v>
      </c>
      <c r="D3">
        <f>IF(dane_19[[#This Row],[Dane wejściowe]]&gt;$K$3,1,0)</f>
        <v>1</v>
      </c>
      <c r="E3">
        <f>IF(dane_19[[#This Row],[war śr]]=C4,0,1)</f>
        <v>0</v>
      </c>
      <c r="F3" s="5">
        <f>IF(dane_19[[#This Row],[War med.]]=D4,0,1)</f>
        <v>0</v>
      </c>
      <c r="J3" t="s">
        <v>2</v>
      </c>
      <c r="K3" s="1">
        <f>MEDIAN(B2:B71)</f>
        <v>0.19</v>
      </c>
    </row>
    <row r="4" spans="1:11" x14ac:dyDescent="0.2">
      <c r="A4">
        <v>3</v>
      </c>
      <c r="B4">
        <v>0.19400000000000001</v>
      </c>
      <c r="C4">
        <f>IF(dane_19[[#This Row],[Dane wejściowe]]&gt;$K$2,1,0)</f>
        <v>1</v>
      </c>
      <c r="D4">
        <f>IF(dane_19[[#This Row],[Dane wejściowe]]&gt;$K$3,1,0)</f>
        <v>1</v>
      </c>
      <c r="E4">
        <f>IF(dane_19[[#This Row],[war śr]]=C5,0,1)</f>
        <v>1</v>
      </c>
      <c r="F4" s="5">
        <f>IF(dane_19[[#This Row],[War med.]]=D5,0,1)</f>
        <v>1</v>
      </c>
    </row>
    <row r="5" spans="1:11" x14ac:dyDescent="0.2">
      <c r="A5">
        <v>4</v>
      </c>
      <c r="B5">
        <v>0.188</v>
      </c>
      <c r="C5">
        <f>IF(dane_19[[#This Row],[Dane wejściowe]]&gt;$K$2,1,0)</f>
        <v>0</v>
      </c>
      <c r="D5">
        <f>IF(dane_19[[#This Row],[Dane wejściowe]]&gt;$K$3,1,0)</f>
        <v>0</v>
      </c>
      <c r="E5">
        <f>IF(dane_19[[#This Row],[war śr]]=C6,0,1)</f>
        <v>0</v>
      </c>
      <c r="F5" s="5">
        <f>IF(dane_19[[#This Row],[War med.]]=D6,0,1)</f>
        <v>0</v>
      </c>
    </row>
    <row r="6" spans="1:11" x14ac:dyDescent="0.2">
      <c r="A6">
        <v>5</v>
      </c>
      <c r="B6">
        <v>0.19</v>
      </c>
      <c r="C6">
        <f>IF(dane_19[[#This Row],[Dane wejściowe]]&gt;$K$2,1,0)</f>
        <v>0</v>
      </c>
      <c r="D6">
        <f>IF(dane_19[[#This Row],[Dane wejściowe]]&gt;$K$3,1,0)</f>
        <v>0</v>
      </c>
      <c r="E6">
        <f>IF(dane_19[[#This Row],[war śr]]=C7,0,1)</f>
        <v>1</v>
      </c>
      <c r="F6" s="5">
        <f>IF(dane_19[[#This Row],[War med.]]=D7,0,1)</f>
        <v>1</v>
      </c>
    </row>
    <row r="7" spans="1:11" x14ac:dyDescent="0.2">
      <c r="A7">
        <v>6</v>
      </c>
      <c r="B7">
        <v>0.192</v>
      </c>
      <c r="C7">
        <f>IF(dane_19[[#This Row],[Dane wejściowe]]&gt;$K$2,1,0)</f>
        <v>1</v>
      </c>
      <c r="D7">
        <f>IF(dane_19[[#This Row],[Dane wejściowe]]&gt;$K$3,1,0)</f>
        <v>1</v>
      </c>
      <c r="E7">
        <f>IF(dane_19[[#This Row],[war śr]]=C8,0,1)</f>
        <v>1</v>
      </c>
      <c r="F7" s="5">
        <f>IF(dane_19[[#This Row],[War med.]]=D8,0,1)</f>
        <v>1</v>
      </c>
    </row>
    <row r="8" spans="1:11" x14ac:dyDescent="0.2">
      <c r="A8">
        <v>7</v>
      </c>
      <c r="B8">
        <v>0.19</v>
      </c>
      <c r="C8">
        <f>IF(dane_19[[#This Row],[Dane wejściowe]]&gt;$K$2,1,0)</f>
        <v>0</v>
      </c>
      <c r="D8">
        <f>IF(dane_19[[#This Row],[Dane wejściowe]]&gt;$K$3,1,0)</f>
        <v>0</v>
      </c>
      <c r="E8">
        <f>IF(dane_19[[#This Row],[war śr]]=C9,0,1)</f>
        <v>0</v>
      </c>
      <c r="F8" s="5">
        <f>IF(dane_19[[#This Row],[War med.]]=D9,0,1)</f>
        <v>0</v>
      </c>
    </row>
    <row r="9" spans="1:11" x14ac:dyDescent="0.2">
      <c r="A9">
        <v>8</v>
      </c>
      <c r="B9">
        <v>0.189</v>
      </c>
      <c r="C9">
        <f>IF(dane_19[[#This Row],[Dane wejściowe]]&gt;$K$2,1,0)</f>
        <v>0</v>
      </c>
      <c r="D9">
        <f>IF(dane_19[[#This Row],[Dane wejściowe]]&gt;$K$3,1,0)</f>
        <v>0</v>
      </c>
      <c r="E9">
        <f>IF(dane_19[[#This Row],[war śr]]=C10,0,1)</f>
        <v>0</v>
      </c>
      <c r="F9" s="5">
        <f>IF(dane_19[[#This Row],[War med.]]=D10,0,1)</f>
        <v>0</v>
      </c>
    </row>
    <row r="10" spans="1:11" x14ac:dyDescent="0.2">
      <c r="A10">
        <v>9</v>
      </c>
      <c r="B10">
        <v>0.19</v>
      </c>
      <c r="C10">
        <f>IF(dane_19[[#This Row],[Dane wejściowe]]&gt;$K$2,1,0)</f>
        <v>0</v>
      </c>
      <c r="D10">
        <f>IF(dane_19[[#This Row],[Dane wejściowe]]&gt;$K$3,1,0)</f>
        <v>0</v>
      </c>
      <c r="E10">
        <f>IF(dane_19[[#This Row],[war śr]]=C11,0,1)</f>
        <v>1</v>
      </c>
      <c r="F10" s="5">
        <f>IF(dane_19[[#This Row],[War med.]]=D11,0,1)</f>
        <v>1</v>
      </c>
    </row>
    <row r="11" spans="1:11" x14ac:dyDescent="0.2">
      <c r="A11">
        <v>10</v>
      </c>
      <c r="B11">
        <v>0.192</v>
      </c>
      <c r="C11">
        <f>IF(dane_19[[#This Row],[Dane wejściowe]]&gt;$K$2,1,0)</f>
        <v>1</v>
      </c>
      <c r="D11">
        <f>IF(dane_19[[#This Row],[Dane wejściowe]]&gt;$K$3,1,0)</f>
        <v>1</v>
      </c>
      <c r="E11">
        <f>IF(dane_19[[#This Row],[war śr]]=C12,0,1)</f>
        <v>0</v>
      </c>
      <c r="F11" s="5">
        <f>IF(dane_19[[#This Row],[War med.]]=D12,0,1)</f>
        <v>0</v>
      </c>
    </row>
    <row r="12" spans="1:11" x14ac:dyDescent="0.2">
      <c r="A12">
        <v>11</v>
      </c>
      <c r="B12">
        <v>0.192</v>
      </c>
      <c r="C12">
        <f>IF(dane_19[[#This Row],[Dane wejściowe]]&gt;$K$2,1,0)</f>
        <v>1</v>
      </c>
      <c r="D12">
        <f>IF(dane_19[[#This Row],[Dane wejściowe]]&gt;$K$3,1,0)</f>
        <v>1</v>
      </c>
      <c r="E12">
        <f>IF(dane_19[[#This Row],[war śr]]=C13,0,1)</f>
        <v>1</v>
      </c>
      <c r="F12" s="5">
        <f>IF(dane_19[[#This Row],[War med.]]=D13,0,1)</f>
        <v>1</v>
      </c>
    </row>
    <row r="13" spans="1:11" x14ac:dyDescent="0.2">
      <c r="A13">
        <v>12</v>
      </c>
      <c r="B13">
        <v>0.19</v>
      </c>
      <c r="C13">
        <f>IF(dane_19[[#This Row],[Dane wejściowe]]&gt;$K$2,1,0)</f>
        <v>0</v>
      </c>
      <c r="D13">
        <f>IF(dane_19[[#This Row],[Dane wejściowe]]&gt;$K$3,1,0)</f>
        <v>0</v>
      </c>
      <c r="E13">
        <f>IF(dane_19[[#This Row],[war śr]]=C14,0,1)</f>
        <v>1</v>
      </c>
      <c r="F13" s="5">
        <f>IF(dane_19[[#This Row],[War med.]]=D14,0,1)</f>
        <v>1</v>
      </c>
    </row>
    <row r="14" spans="1:11" x14ac:dyDescent="0.2">
      <c r="A14">
        <v>13</v>
      </c>
      <c r="B14">
        <v>0.193</v>
      </c>
      <c r="C14">
        <f>IF(dane_19[[#This Row],[Dane wejściowe]]&gt;$K$2,1,0)</f>
        <v>1</v>
      </c>
      <c r="D14">
        <f>IF(dane_19[[#This Row],[Dane wejściowe]]&gt;$K$3,1,0)</f>
        <v>1</v>
      </c>
      <c r="E14">
        <f>IF(dane_19[[#This Row],[war śr]]=C15,0,1)</f>
        <v>1</v>
      </c>
      <c r="F14" s="5">
        <f>IF(dane_19[[#This Row],[War med.]]=D15,0,1)</f>
        <v>1</v>
      </c>
    </row>
    <row r="15" spans="1:11" x14ac:dyDescent="0.2">
      <c r="A15">
        <v>14</v>
      </c>
      <c r="B15">
        <v>0.189</v>
      </c>
      <c r="C15">
        <f>IF(dane_19[[#This Row],[Dane wejściowe]]&gt;$K$2,1,0)</f>
        <v>0</v>
      </c>
      <c r="D15">
        <f>IF(dane_19[[#This Row],[Dane wejściowe]]&gt;$K$3,1,0)</f>
        <v>0</v>
      </c>
      <c r="E15">
        <f>IF(dane_19[[#This Row],[war śr]]=C16,0,1)</f>
        <v>1</v>
      </c>
      <c r="F15" s="5">
        <f>IF(dane_19[[#This Row],[War med.]]=D16,0,1)</f>
        <v>1</v>
      </c>
    </row>
    <row r="16" spans="1:11" x14ac:dyDescent="0.2">
      <c r="A16">
        <v>15</v>
      </c>
      <c r="B16">
        <v>0.191</v>
      </c>
      <c r="C16">
        <f>IF(dane_19[[#This Row],[Dane wejściowe]]&gt;$K$2,1,0)</f>
        <v>1</v>
      </c>
      <c r="D16">
        <f>IF(dane_19[[#This Row],[Dane wejściowe]]&gt;$K$3,1,0)</f>
        <v>1</v>
      </c>
      <c r="E16">
        <f>IF(dane_19[[#This Row],[war śr]]=C17,0,1)</f>
        <v>0</v>
      </c>
      <c r="F16" s="5">
        <f>IF(dane_19[[#This Row],[War med.]]=D17,0,1)</f>
        <v>0</v>
      </c>
    </row>
    <row r="17" spans="1:6" x14ac:dyDescent="0.2">
      <c r="A17">
        <v>16</v>
      </c>
      <c r="B17">
        <v>0.19400000000000001</v>
      </c>
      <c r="C17">
        <f>IF(dane_19[[#This Row],[Dane wejściowe]]&gt;$K$2,1,0)</f>
        <v>1</v>
      </c>
      <c r="D17">
        <f>IF(dane_19[[#This Row],[Dane wejściowe]]&gt;$K$3,1,0)</f>
        <v>1</v>
      </c>
      <c r="E17">
        <f>IF(dane_19[[#This Row],[war śr]]=C18,0,1)</f>
        <v>0</v>
      </c>
      <c r="F17" s="5">
        <f>IF(dane_19[[#This Row],[War med.]]=D18,0,1)</f>
        <v>0</v>
      </c>
    </row>
    <row r="18" spans="1:6" x14ac:dyDescent="0.2">
      <c r="A18">
        <v>17</v>
      </c>
      <c r="B18">
        <v>0.191</v>
      </c>
      <c r="C18">
        <f>IF(dane_19[[#This Row],[Dane wejściowe]]&gt;$K$2,1,0)</f>
        <v>1</v>
      </c>
      <c r="D18">
        <f>IF(dane_19[[#This Row],[Dane wejściowe]]&gt;$K$3,1,0)</f>
        <v>1</v>
      </c>
      <c r="E18">
        <f>IF(dane_19[[#This Row],[war śr]]=C19,0,1)</f>
        <v>1</v>
      </c>
      <c r="F18" s="5">
        <f>IF(dane_19[[#This Row],[War med.]]=D19,0,1)</f>
        <v>1</v>
      </c>
    </row>
    <row r="19" spans="1:6" x14ac:dyDescent="0.2">
      <c r="A19">
        <v>18</v>
      </c>
      <c r="B19">
        <v>0.189</v>
      </c>
      <c r="C19">
        <f>IF(dane_19[[#This Row],[Dane wejściowe]]&gt;$K$2,1,0)</f>
        <v>0</v>
      </c>
      <c r="D19">
        <f>IF(dane_19[[#This Row],[Dane wejściowe]]&gt;$K$3,1,0)</f>
        <v>0</v>
      </c>
      <c r="E19">
        <f>IF(dane_19[[#This Row],[war śr]]=C20,0,1)</f>
        <v>0</v>
      </c>
      <c r="F19" s="5">
        <f>IF(dane_19[[#This Row],[War med.]]=D20,0,1)</f>
        <v>0</v>
      </c>
    </row>
    <row r="20" spans="1:6" x14ac:dyDescent="0.2">
      <c r="A20">
        <v>19</v>
      </c>
      <c r="B20">
        <v>0.19</v>
      </c>
      <c r="C20">
        <f>IF(dane_19[[#This Row],[Dane wejściowe]]&gt;$K$2,1,0)</f>
        <v>0</v>
      </c>
      <c r="D20">
        <f>IF(dane_19[[#This Row],[Dane wejściowe]]&gt;$K$3,1,0)</f>
        <v>0</v>
      </c>
      <c r="E20">
        <f>IF(dane_19[[#This Row],[war śr]]=C21,0,1)</f>
        <v>0</v>
      </c>
      <c r="F20" s="5">
        <f>IF(dane_19[[#This Row],[War med.]]=D21,0,1)</f>
        <v>0</v>
      </c>
    </row>
    <row r="21" spans="1:6" x14ac:dyDescent="0.2">
      <c r="A21">
        <v>20</v>
      </c>
      <c r="B21">
        <v>0.188</v>
      </c>
      <c r="C21">
        <f>IF(dane_19[[#This Row],[Dane wejściowe]]&gt;$K$2,1,0)</f>
        <v>0</v>
      </c>
      <c r="D21">
        <f>IF(dane_19[[#This Row],[Dane wejściowe]]&gt;$K$3,1,0)</f>
        <v>0</v>
      </c>
      <c r="E21">
        <f>IF(dane_19[[#This Row],[war śr]]=C22,0,1)</f>
        <v>1</v>
      </c>
      <c r="F21" s="5">
        <f>IF(dane_19[[#This Row],[War med.]]=D22,0,1)</f>
        <v>1</v>
      </c>
    </row>
    <row r="22" spans="1:6" x14ac:dyDescent="0.2">
      <c r="A22">
        <v>21</v>
      </c>
      <c r="B22">
        <v>0.191</v>
      </c>
      <c r="C22">
        <f>IF(dane_19[[#This Row],[Dane wejściowe]]&gt;$K$2,1,0)</f>
        <v>1</v>
      </c>
      <c r="D22">
        <f>IF(dane_19[[#This Row],[Dane wejściowe]]&gt;$K$3,1,0)</f>
        <v>1</v>
      </c>
      <c r="E22">
        <f>IF(dane_19[[#This Row],[war śr]]=C23,0,1)</f>
        <v>0</v>
      </c>
      <c r="F22" s="5">
        <f>IF(dane_19[[#This Row],[War med.]]=D23,0,1)</f>
        <v>0</v>
      </c>
    </row>
    <row r="23" spans="1:6" x14ac:dyDescent="0.2">
      <c r="A23">
        <v>22</v>
      </c>
      <c r="B23">
        <v>0.192</v>
      </c>
      <c r="C23">
        <f>IF(dane_19[[#This Row],[Dane wejściowe]]&gt;$K$2,1,0)</f>
        <v>1</v>
      </c>
      <c r="D23">
        <f>IF(dane_19[[#This Row],[Dane wejściowe]]&gt;$K$3,1,0)</f>
        <v>1</v>
      </c>
      <c r="E23">
        <f>IF(dane_19[[#This Row],[war śr]]=C24,0,1)</f>
        <v>0</v>
      </c>
      <c r="F23" s="5">
        <f>IF(dane_19[[#This Row],[War med.]]=D24,0,1)</f>
        <v>0</v>
      </c>
    </row>
    <row r="24" spans="1:6" x14ac:dyDescent="0.2">
      <c r="A24">
        <v>23</v>
      </c>
      <c r="B24">
        <v>0.191</v>
      </c>
      <c r="C24">
        <f>IF(dane_19[[#This Row],[Dane wejściowe]]&gt;$K$2,1,0)</f>
        <v>1</v>
      </c>
      <c r="D24">
        <f>IF(dane_19[[#This Row],[Dane wejściowe]]&gt;$K$3,1,0)</f>
        <v>1</v>
      </c>
      <c r="E24">
        <f>IF(dane_19[[#This Row],[war śr]]=C25,0,1)</f>
        <v>1</v>
      </c>
      <c r="F24" s="5">
        <f>IF(dane_19[[#This Row],[War med.]]=D25,0,1)</f>
        <v>1</v>
      </c>
    </row>
    <row r="25" spans="1:6" x14ac:dyDescent="0.2">
      <c r="A25">
        <v>24</v>
      </c>
      <c r="B25">
        <v>0.19</v>
      </c>
      <c r="C25">
        <f>IF(dane_19[[#This Row],[Dane wejściowe]]&gt;$K$2,1,0)</f>
        <v>0</v>
      </c>
      <c r="D25">
        <f>IF(dane_19[[#This Row],[Dane wejściowe]]&gt;$K$3,1,0)</f>
        <v>0</v>
      </c>
      <c r="E25">
        <f>IF(dane_19[[#This Row],[war śr]]=C26,0,1)</f>
        <v>0</v>
      </c>
      <c r="F25" s="5">
        <f>IF(dane_19[[#This Row],[War med.]]=D26,0,1)</f>
        <v>0</v>
      </c>
    </row>
    <row r="26" spans="1:6" x14ac:dyDescent="0.2">
      <c r="A26">
        <v>25</v>
      </c>
      <c r="B26">
        <v>0.188</v>
      </c>
      <c r="C26">
        <f>IF(dane_19[[#This Row],[Dane wejściowe]]&gt;$K$2,1,0)</f>
        <v>0</v>
      </c>
      <c r="D26">
        <f>IF(dane_19[[#This Row],[Dane wejściowe]]&gt;$K$3,1,0)</f>
        <v>0</v>
      </c>
      <c r="E26">
        <f>IF(dane_19[[#This Row],[war śr]]=C27,0,1)</f>
        <v>0</v>
      </c>
      <c r="F26" s="5">
        <f>IF(dane_19[[#This Row],[War med.]]=D27,0,1)</f>
        <v>0</v>
      </c>
    </row>
    <row r="27" spans="1:6" x14ac:dyDescent="0.2">
      <c r="A27">
        <v>26</v>
      </c>
      <c r="B27">
        <v>0.187</v>
      </c>
      <c r="C27">
        <f>IF(dane_19[[#This Row],[Dane wejściowe]]&gt;$K$2,1,0)</f>
        <v>0</v>
      </c>
      <c r="D27">
        <f>IF(dane_19[[#This Row],[Dane wejściowe]]&gt;$K$3,1,0)</f>
        <v>0</v>
      </c>
      <c r="E27">
        <f>IF(dane_19[[#This Row],[war śr]]=C28,0,1)</f>
        <v>0</v>
      </c>
      <c r="F27" s="5">
        <f>IF(dane_19[[#This Row],[War med.]]=D28,0,1)</f>
        <v>0</v>
      </c>
    </row>
    <row r="28" spans="1:6" x14ac:dyDescent="0.2">
      <c r="A28">
        <v>27</v>
      </c>
      <c r="B28">
        <v>0.186</v>
      </c>
      <c r="C28">
        <f>IF(dane_19[[#This Row],[Dane wejściowe]]&gt;$K$2,1,0)</f>
        <v>0</v>
      </c>
      <c r="D28">
        <f>IF(dane_19[[#This Row],[Dane wejściowe]]&gt;$K$3,1,0)</f>
        <v>0</v>
      </c>
      <c r="E28">
        <f>IF(dane_19[[#This Row],[war śr]]=C29,0,1)</f>
        <v>0</v>
      </c>
      <c r="F28" s="5">
        <f>IF(dane_19[[#This Row],[War med.]]=D29,0,1)</f>
        <v>0</v>
      </c>
    </row>
    <row r="29" spans="1:6" x14ac:dyDescent="0.2">
      <c r="A29">
        <v>28</v>
      </c>
      <c r="B29">
        <v>0.189</v>
      </c>
      <c r="C29">
        <f>IF(dane_19[[#This Row],[Dane wejściowe]]&gt;$K$2,1,0)</f>
        <v>0</v>
      </c>
      <c r="D29">
        <f>IF(dane_19[[#This Row],[Dane wejściowe]]&gt;$K$3,1,0)</f>
        <v>0</v>
      </c>
      <c r="E29">
        <f>IF(dane_19[[#This Row],[war śr]]=C30,0,1)</f>
        <v>0</v>
      </c>
      <c r="F29" s="5">
        <f>IF(dane_19[[#This Row],[War med.]]=D30,0,1)</f>
        <v>0</v>
      </c>
    </row>
    <row r="30" spans="1:6" x14ac:dyDescent="0.2">
      <c r="A30">
        <v>29</v>
      </c>
      <c r="B30">
        <v>0.188</v>
      </c>
      <c r="C30">
        <f>IF(dane_19[[#This Row],[Dane wejściowe]]&gt;$K$2,1,0)</f>
        <v>0</v>
      </c>
      <c r="D30">
        <f>IF(dane_19[[#This Row],[Dane wejściowe]]&gt;$K$3,1,0)</f>
        <v>0</v>
      </c>
      <c r="E30">
        <f>IF(dane_19[[#This Row],[war śr]]=C31,0,1)</f>
        <v>1</v>
      </c>
      <c r="F30" s="5">
        <f>IF(dane_19[[#This Row],[War med.]]=D31,0,1)</f>
        <v>1</v>
      </c>
    </row>
    <row r="31" spans="1:6" x14ac:dyDescent="0.2">
      <c r="A31">
        <v>30</v>
      </c>
      <c r="B31">
        <v>0.191</v>
      </c>
      <c r="C31">
        <f>IF(dane_19[[#This Row],[Dane wejściowe]]&gt;$K$2,1,0)</f>
        <v>1</v>
      </c>
      <c r="D31">
        <f>IF(dane_19[[#This Row],[Dane wejściowe]]&gt;$K$3,1,0)</f>
        <v>1</v>
      </c>
      <c r="E31">
        <f>IF(dane_19[[#This Row],[war śr]]=C32,0,1)</f>
        <v>1</v>
      </c>
      <c r="F31" s="5">
        <f>IF(dane_19[[#This Row],[War med.]]=D32,0,1)</f>
        <v>1</v>
      </c>
    </row>
    <row r="32" spans="1:6" x14ac:dyDescent="0.2">
      <c r="A32">
        <v>31</v>
      </c>
      <c r="B32">
        <v>0.189</v>
      </c>
      <c r="C32">
        <f>IF(dane_19[[#This Row],[Dane wejściowe]]&gt;$K$2,1,0)</f>
        <v>0</v>
      </c>
      <c r="D32">
        <f>IF(dane_19[[#This Row],[Dane wejściowe]]&gt;$K$3,1,0)</f>
        <v>0</v>
      </c>
      <c r="E32">
        <f>IF(dane_19[[#This Row],[war śr]]=C33,0,1)</f>
        <v>0</v>
      </c>
      <c r="F32" s="5">
        <f>IF(dane_19[[#This Row],[War med.]]=D33,0,1)</f>
        <v>0</v>
      </c>
    </row>
    <row r="33" spans="1:13" x14ac:dyDescent="0.2">
      <c r="A33">
        <v>32</v>
      </c>
      <c r="B33">
        <v>0.19</v>
      </c>
      <c r="C33">
        <f>IF(dane_19[[#This Row],[Dane wejściowe]]&gt;$K$2,1,0)</f>
        <v>0</v>
      </c>
      <c r="D33">
        <f>IF(dane_19[[#This Row],[Dane wejściowe]]&gt;$K$3,1,0)</f>
        <v>0</v>
      </c>
      <c r="E33">
        <f>IF(dane_19[[#This Row],[war śr]]=C34,0,1)</f>
        <v>0</v>
      </c>
      <c r="F33" s="5">
        <f>IF(dane_19[[#This Row],[War med.]]=D34,0,1)</f>
        <v>0</v>
      </c>
    </row>
    <row r="34" spans="1:13" x14ac:dyDescent="0.2">
      <c r="A34">
        <v>33</v>
      </c>
      <c r="B34">
        <v>0.186</v>
      </c>
      <c r="C34">
        <f>IF(dane_19[[#This Row],[Dane wejściowe]]&gt;$K$2,1,0)</f>
        <v>0</v>
      </c>
      <c r="D34">
        <f>IF(dane_19[[#This Row],[Dane wejściowe]]&gt;$K$3,1,0)</f>
        <v>0</v>
      </c>
      <c r="E34">
        <f>IF(dane_19[[#This Row],[war śr]]=C35,0,1)</f>
        <v>0</v>
      </c>
      <c r="F34" s="5">
        <f>IF(dane_19[[#This Row],[War med.]]=D35,0,1)</f>
        <v>0</v>
      </c>
    </row>
    <row r="35" spans="1:13" x14ac:dyDescent="0.2">
      <c r="A35">
        <v>34</v>
      </c>
      <c r="B35">
        <v>0.189</v>
      </c>
      <c r="C35">
        <f>IF(dane_19[[#This Row],[Dane wejściowe]]&gt;$K$2,1,0)</f>
        <v>0</v>
      </c>
      <c r="D35">
        <f>IF(dane_19[[#This Row],[Dane wejściowe]]&gt;$K$3,1,0)</f>
        <v>0</v>
      </c>
      <c r="E35">
        <f>IF(dane_19[[#This Row],[war śr]]=C36,0,1)</f>
        <v>1</v>
      </c>
      <c r="F35" s="5">
        <f>IF(dane_19[[#This Row],[War med.]]=D36,0,1)</f>
        <v>1</v>
      </c>
    </row>
    <row r="36" spans="1:13" x14ac:dyDescent="0.2">
      <c r="A36">
        <v>35</v>
      </c>
      <c r="B36">
        <v>0.191</v>
      </c>
      <c r="C36">
        <f>IF(dane_19[[#This Row],[Dane wejściowe]]&gt;$K$2,1,0)</f>
        <v>1</v>
      </c>
      <c r="D36">
        <f>IF(dane_19[[#This Row],[Dane wejściowe]]&gt;$K$3,1,0)</f>
        <v>1</v>
      </c>
      <c r="E36">
        <f>IF(dane_19[[#This Row],[war śr]]=C37,0,1)</f>
        <v>0</v>
      </c>
      <c r="F36" s="5">
        <f>IF(dane_19[[#This Row],[War med.]]=D37,0,1)</f>
        <v>0</v>
      </c>
      <c r="J36" s="6" t="s">
        <v>6</v>
      </c>
      <c r="K36" s="6"/>
      <c r="L36" s="6" t="s">
        <v>2</v>
      </c>
      <c r="M36" s="6"/>
    </row>
    <row r="37" spans="1:13" x14ac:dyDescent="0.2">
      <c r="A37">
        <v>36</v>
      </c>
      <c r="B37">
        <v>0.193</v>
      </c>
      <c r="C37">
        <f>IF(dane_19[[#This Row],[Dane wejściowe]]&gt;$K$2,1,0)</f>
        <v>1</v>
      </c>
      <c r="D37">
        <f>IF(dane_19[[#This Row],[Dane wejściowe]]&gt;$K$3,1,0)</f>
        <v>1</v>
      </c>
      <c r="E37">
        <f>IF(dane_19[[#This Row],[war śr]]=C38,0,1)</f>
        <v>1</v>
      </c>
      <c r="F37" s="5">
        <f>IF(dane_19[[#This Row],[War med.]]=D38,0,1)</f>
        <v>1</v>
      </c>
      <c r="J37" t="s">
        <v>7</v>
      </c>
      <c r="K37" s="2">
        <f>ROWS(C2:C71)</f>
        <v>70</v>
      </c>
      <c r="L37" t="s">
        <v>7</v>
      </c>
      <c r="M37" s="2">
        <f>ROWS(D6:D75)</f>
        <v>70</v>
      </c>
    </row>
    <row r="38" spans="1:13" x14ac:dyDescent="0.2">
      <c r="A38">
        <v>37</v>
      </c>
      <c r="B38">
        <v>0.187</v>
      </c>
      <c r="C38">
        <f>IF(dane_19[[#This Row],[Dane wejściowe]]&gt;$K$2,1,0)</f>
        <v>0</v>
      </c>
      <c r="D38">
        <f>IF(dane_19[[#This Row],[Dane wejściowe]]&gt;$K$3,1,0)</f>
        <v>0</v>
      </c>
      <c r="E38">
        <f>IF(dane_19[[#This Row],[war śr]]=C39,0,1)</f>
        <v>0</v>
      </c>
      <c r="F38" s="5">
        <f>IF(dane_19[[#This Row],[War med.]]=D39,0,1)</f>
        <v>0</v>
      </c>
      <c r="J38" t="s">
        <v>8</v>
      </c>
      <c r="K38" s="2">
        <f>COUNTIF(C2:C71,"=0")</f>
        <v>40</v>
      </c>
      <c r="L38" t="s">
        <v>8</v>
      </c>
      <c r="M38" s="2">
        <f>COUNTIF(D6:D75,"=0")</f>
        <v>40</v>
      </c>
    </row>
    <row r="39" spans="1:13" x14ac:dyDescent="0.2">
      <c r="A39">
        <v>38</v>
      </c>
      <c r="B39">
        <v>0.19</v>
      </c>
      <c r="C39">
        <f>IF(dane_19[[#This Row],[Dane wejściowe]]&gt;$K$2,1,0)</f>
        <v>0</v>
      </c>
      <c r="D39">
        <f>IF(dane_19[[#This Row],[Dane wejściowe]]&gt;$K$3,1,0)</f>
        <v>0</v>
      </c>
      <c r="E39">
        <f>IF(dane_19[[#This Row],[war śr]]=C40,0,1)</f>
        <v>1</v>
      </c>
      <c r="F39" s="5">
        <f>IF(dane_19[[#This Row],[War med.]]=D40,0,1)</f>
        <v>1</v>
      </c>
      <c r="J39" t="s">
        <v>9</v>
      </c>
      <c r="K39" s="2">
        <f>K37-K38</f>
        <v>30</v>
      </c>
      <c r="L39" t="s">
        <v>9</v>
      </c>
      <c r="M39" s="2">
        <f>M37-M38</f>
        <v>30</v>
      </c>
    </row>
    <row r="40" spans="1:13" x14ac:dyDescent="0.2">
      <c r="A40">
        <v>39</v>
      </c>
      <c r="B40">
        <v>0.193</v>
      </c>
      <c r="C40">
        <f>IF(dane_19[[#This Row],[Dane wejściowe]]&gt;$K$2,1,0)</f>
        <v>1</v>
      </c>
      <c r="D40">
        <f>IF(dane_19[[#This Row],[Dane wejściowe]]&gt;$K$3,1,0)</f>
        <v>1</v>
      </c>
      <c r="E40">
        <f>IF(dane_19[[#This Row],[war śr]]=C41,0,1)</f>
        <v>1</v>
      </c>
      <c r="F40" s="5">
        <f>IF(dane_19[[#This Row],[War med.]]=D41,0,1)</f>
        <v>1</v>
      </c>
      <c r="J40" s="3" t="s">
        <v>10</v>
      </c>
      <c r="K40" s="1">
        <f>(2*K38*K39)/K37+1</f>
        <v>35.285714285714285</v>
      </c>
      <c r="L40" s="3" t="s">
        <v>10</v>
      </c>
      <c r="M40" s="1">
        <f>(2*M38*M39)/M37+1</f>
        <v>35.285714285714285</v>
      </c>
    </row>
    <row r="41" spans="1:13" x14ac:dyDescent="0.2">
      <c r="A41">
        <v>40</v>
      </c>
      <c r="B41">
        <v>0.19</v>
      </c>
      <c r="C41">
        <f>IF(dane_19[[#This Row],[Dane wejściowe]]&gt;$K$2,1,0)</f>
        <v>0</v>
      </c>
      <c r="D41">
        <f>IF(dane_19[[#This Row],[Dane wejściowe]]&gt;$K$3,1,0)</f>
        <v>0</v>
      </c>
      <c r="E41">
        <f>IF(dane_19[[#This Row],[war śr]]=C42,0,1)</f>
        <v>0</v>
      </c>
      <c r="F41" s="5">
        <f>IF(dane_19[[#This Row],[War med.]]=D42,0,1)</f>
        <v>0</v>
      </c>
      <c r="J41" s="3" t="s">
        <v>11</v>
      </c>
      <c r="K41" s="1">
        <f>SQRT((2*K38*K39*(2*K38*K39-K37))/((K37-1)*POWER(K37,2)))</f>
        <v>4.0668766098028026</v>
      </c>
      <c r="L41" s="3" t="s">
        <v>11</v>
      </c>
      <c r="M41" s="1">
        <f>SQRT((2*M38*M39*(2*M38*M39-M37))/((M37-1)*POWER(M37,2)))</f>
        <v>4.0668766098028026</v>
      </c>
    </row>
    <row r="42" spans="1:13" x14ac:dyDescent="0.2">
      <c r="A42">
        <v>41</v>
      </c>
      <c r="B42">
        <v>0.19</v>
      </c>
      <c r="C42">
        <f>IF(dane_19[[#This Row],[Dane wejściowe]]&gt;$K$2,1,0)</f>
        <v>0</v>
      </c>
      <c r="D42">
        <f>IF(dane_19[[#This Row],[Dane wejściowe]]&gt;$K$3,1,0)</f>
        <v>0</v>
      </c>
      <c r="E42">
        <f>IF(dane_19[[#This Row],[war śr]]=C43,0,1)</f>
        <v>0</v>
      </c>
      <c r="F42" s="5">
        <f>IF(dane_19[[#This Row],[War med.]]=D43,0,1)</f>
        <v>0</v>
      </c>
      <c r="J42" s="3" t="s">
        <v>12</v>
      </c>
      <c r="K42" s="4">
        <f>NORMINV(0.05,K40,K41)</f>
        <v>28.596297543716034</v>
      </c>
      <c r="L42" s="3" t="s">
        <v>12</v>
      </c>
      <c r="M42" s="4">
        <f>NORMINV(0.05,M40,M41)</f>
        <v>28.596297543716034</v>
      </c>
    </row>
    <row r="43" spans="1:13" x14ac:dyDescent="0.2">
      <c r="A43">
        <v>42</v>
      </c>
      <c r="B43">
        <v>0.19</v>
      </c>
      <c r="C43">
        <f>IF(dane_19[[#This Row],[Dane wejściowe]]&gt;$K$2,1,0)</f>
        <v>0</v>
      </c>
      <c r="D43">
        <f>IF(dane_19[[#This Row],[Dane wejściowe]]&gt;$K$3,1,0)</f>
        <v>0</v>
      </c>
      <c r="E43">
        <f>IF(dane_19[[#This Row],[war śr]]=C44,0,1)</f>
        <v>1</v>
      </c>
      <c r="F43" s="5">
        <f>IF(dane_19[[#This Row],[War med.]]=D44,0,1)</f>
        <v>1</v>
      </c>
      <c r="J43" s="3" t="s">
        <v>13</v>
      </c>
      <c r="K43" s="4">
        <f>NORMINV(0.95,K40,K41)</f>
        <v>41.975131027712528</v>
      </c>
      <c r="L43" s="3" t="s">
        <v>13</v>
      </c>
      <c r="M43" s="4">
        <f>NORMINV(0.95,M40,M41)</f>
        <v>41.975131027712528</v>
      </c>
    </row>
    <row r="44" spans="1:13" x14ac:dyDescent="0.2">
      <c r="A44">
        <v>43</v>
      </c>
      <c r="B44">
        <v>0.192</v>
      </c>
      <c r="C44">
        <f>IF(dane_19[[#This Row],[Dane wejściowe]]&gt;$K$2,1,0)</f>
        <v>1</v>
      </c>
      <c r="D44">
        <f>IF(dane_19[[#This Row],[Dane wejściowe]]&gt;$K$3,1,0)</f>
        <v>1</v>
      </c>
      <c r="E44">
        <f>IF(dane_19[[#This Row],[war śr]]=C45,0,1)</f>
        <v>1</v>
      </c>
      <c r="F44" s="5">
        <f>IF(dane_19[[#This Row],[War med.]]=D45,0,1)</f>
        <v>1</v>
      </c>
      <c r="J44" s="3" t="s">
        <v>14</v>
      </c>
      <c r="K44">
        <f>SUM(E2:E71)</f>
        <v>33</v>
      </c>
      <c r="L44" s="3" t="s">
        <v>14</v>
      </c>
      <c r="M44">
        <f>SUM(F2:F71)</f>
        <v>33</v>
      </c>
    </row>
    <row r="45" spans="1:13" x14ac:dyDescent="0.2">
      <c r="A45">
        <v>44</v>
      </c>
      <c r="B45">
        <v>0.189</v>
      </c>
      <c r="C45">
        <f>IF(dane_19[[#This Row],[Dane wejściowe]]&gt;$K$2,1,0)</f>
        <v>0</v>
      </c>
      <c r="D45">
        <f>IF(dane_19[[#This Row],[Dane wejściowe]]&gt;$K$3,1,0)</f>
        <v>0</v>
      </c>
      <c r="E45">
        <f>IF(dane_19[[#This Row],[war śr]]=C46,0,1)</f>
        <v>1</v>
      </c>
      <c r="F45" s="5">
        <f>IF(dane_19[[#This Row],[War med.]]=D46,0,1)</f>
        <v>1</v>
      </c>
      <c r="J45" s="3"/>
    </row>
    <row r="46" spans="1:13" x14ac:dyDescent="0.2">
      <c r="A46">
        <v>45</v>
      </c>
      <c r="B46">
        <v>0.19400000000000001</v>
      </c>
      <c r="C46">
        <f>IF(dane_19[[#This Row],[Dane wejściowe]]&gt;$K$2,1,0)</f>
        <v>1</v>
      </c>
      <c r="D46">
        <f>IF(dane_19[[#This Row],[Dane wejściowe]]&gt;$K$3,1,0)</f>
        <v>1</v>
      </c>
      <c r="E46">
        <f>IF(dane_19[[#This Row],[war śr]]=C47,0,1)</f>
        <v>0</v>
      </c>
      <c r="F46" s="5">
        <f>IF(dane_19[[#This Row],[War med.]]=D47,0,1)</f>
        <v>0</v>
      </c>
      <c r="J46" s="6" t="s">
        <v>17</v>
      </c>
      <c r="K46" s="6"/>
      <c r="L46" s="6"/>
      <c r="M46" s="6"/>
    </row>
    <row r="47" spans="1:13" x14ac:dyDescent="0.2">
      <c r="A47">
        <v>46</v>
      </c>
      <c r="B47">
        <v>0.191</v>
      </c>
      <c r="C47">
        <f>IF(dane_19[[#This Row],[Dane wejściowe]]&gt;$K$2,1,0)</f>
        <v>1</v>
      </c>
      <c r="D47">
        <f>IF(dane_19[[#This Row],[Dane wejściowe]]&gt;$K$3,1,0)</f>
        <v>1</v>
      </c>
      <c r="E47">
        <f>IF(dane_19[[#This Row],[war śr]]=C48,0,1)</f>
        <v>0</v>
      </c>
      <c r="F47" s="5">
        <f>IF(dane_19[[#This Row],[War med.]]=D48,0,1)</f>
        <v>0</v>
      </c>
      <c r="J47" s="7" t="s">
        <v>18</v>
      </c>
      <c r="K47" s="7"/>
      <c r="L47" s="7"/>
      <c r="M47" s="7"/>
    </row>
    <row r="48" spans="1:13" x14ac:dyDescent="0.2">
      <c r="A48">
        <v>47</v>
      </c>
      <c r="B48">
        <v>0.192</v>
      </c>
      <c r="C48">
        <f>IF(dane_19[[#This Row],[Dane wejściowe]]&gt;$K$2,1,0)</f>
        <v>1</v>
      </c>
      <c r="D48">
        <f>IF(dane_19[[#This Row],[Dane wejściowe]]&gt;$K$3,1,0)</f>
        <v>1</v>
      </c>
      <c r="E48">
        <f>IF(dane_19[[#This Row],[war śr]]=C49,0,1)</f>
        <v>0</v>
      </c>
      <c r="F48" s="5">
        <f>IF(dane_19[[#This Row],[War med.]]=D49,0,1)</f>
        <v>0</v>
      </c>
      <c r="J48" s="7"/>
      <c r="K48" s="7"/>
      <c r="L48" s="7"/>
      <c r="M48" s="7"/>
    </row>
    <row r="49" spans="1:13" x14ac:dyDescent="0.2">
      <c r="A49">
        <v>48</v>
      </c>
      <c r="B49">
        <v>0.191</v>
      </c>
      <c r="C49">
        <f>IF(dane_19[[#This Row],[Dane wejściowe]]&gt;$K$2,1,0)</f>
        <v>1</v>
      </c>
      <c r="D49">
        <f>IF(dane_19[[#This Row],[Dane wejściowe]]&gt;$K$3,1,0)</f>
        <v>1</v>
      </c>
      <c r="E49">
        <f>IF(dane_19[[#This Row],[war śr]]=C50,0,1)</f>
        <v>1</v>
      </c>
      <c r="F49" s="5">
        <f>IF(dane_19[[#This Row],[War med.]]=D50,0,1)</f>
        <v>1</v>
      </c>
      <c r="J49" s="7"/>
      <c r="K49" s="7"/>
      <c r="L49" s="7"/>
      <c r="M49" s="7"/>
    </row>
    <row r="50" spans="1:13" x14ac:dyDescent="0.2">
      <c r="A50">
        <v>49</v>
      </c>
      <c r="B50">
        <v>0.189</v>
      </c>
      <c r="C50">
        <f>IF(dane_19[[#This Row],[Dane wejściowe]]&gt;$K$2,1,0)</f>
        <v>0</v>
      </c>
      <c r="D50">
        <f>IF(dane_19[[#This Row],[Dane wejściowe]]&gt;$K$3,1,0)</f>
        <v>0</v>
      </c>
      <c r="E50">
        <f>IF(dane_19[[#This Row],[war śr]]=C51,0,1)</f>
        <v>0</v>
      </c>
      <c r="F50" s="5">
        <f>IF(dane_19[[#This Row],[War med.]]=D51,0,1)</f>
        <v>0</v>
      </c>
      <c r="J50" s="7"/>
      <c r="K50" s="7"/>
      <c r="L50" s="7"/>
      <c r="M50" s="7"/>
    </row>
    <row r="51" spans="1:13" x14ac:dyDescent="0.2">
      <c r="A51">
        <v>50</v>
      </c>
      <c r="B51">
        <v>0.189</v>
      </c>
      <c r="C51">
        <f>IF(dane_19[[#This Row],[Dane wejściowe]]&gt;$K$2,1,0)</f>
        <v>0</v>
      </c>
      <c r="D51">
        <f>IF(dane_19[[#This Row],[Dane wejściowe]]&gt;$K$3,1,0)</f>
        <v>0</v>
      </c>
      <c r="E51">
        <f>IF(dane_19[[#This Row],[war śr]]=C52,0,1)</f>
        <v>0</v>
      </c>
      <c r="F51" s="5">
        <f>IF(dane_19[[#This Row],[War med.]]=D52,0,1)</f>
        <v>0</v>
      </c>
    </row>
    <row r="52" spans="1:13" x14ac:dyDescent="0.2">
      <c r="A52">
        <v>51</v>
      </c>
      <c r="B52">
        <v>0.189</v>
      </c>
      <c r="C52">
        <f>IF(dane_19[[#This Row],[Dane wejściowe]]&gt;$K$2,1,0)</f>
        <v>0</v>
      </c>
      <c r="D52">
        <f>IF(dane_19[[#This Row],[Dane wejściowe]]&gt;$K$3,1,0)</f>
        <v>0</v>
      </c>
      <c r="E52">
        <f>IF(dane_19[[#This Row],[war śr]]=C53,0,1)</f>
        <v>0</v>
      </c>
      <c r="F52" s="5">
        <f>IF(dane_19[[#This Row],[War med.]]=D53,0,1)</f>
        <v>0</v>
      </c>
    </row>
    <row r="53" spans="1:13" x14ac:dyDescent="0.2">
      <c r="A53">
        <v>52</v>
      </c>
      <c r="B53">
        <v>0.187</v>
      </c>
      <c r="C53">
        <f>IF(dane_19[[#This Row],[Dane wejściowe]]&gt;$K$2,1,0)</f>
        <v>0</v>
      </c>
      <c r="D53">
        <f>IF(dane_19[[#This Row],[Dane wejściowe]]&gt;$K$3,1,0)</f>
        <v>0</v>
      </c>
      <c r="E53">
        <f>IF(dane_19[[#This Row],[war śr]]=C54,0,1)</f>
        <v>1</v>
      </c>
      <c r="F53" s="5">
        <f>IF(dane_19[[#This Row],[War med.]]=D54,0,1)</f>
        <v>1</v>
      </c>
    </row>
    <row r="54" spans="1:13" x14ac:dyDescent="0.2">
      <c r="A54">
        <v>53</v>
      </c>
      <c r="B54">
        <v>0.191</v>
      </c>
      <c r="C54">
        <f>IF(dane_19[[#This Row],[Dane wejściowe]]&gt;$K$2,1,0)</f>
        <v>1</v>
      </c>
      <c r="D54">
        <f>IF(dane_19[[#This Row],[Dane wejściowe]]&gt;$K$3,1,0)</f>
        <v>1</v>
      </c>
      <c r="E54">
        <f>IF(dane_19[[#This Row],[war śr]]=C55,0,1)</f>
        <v>0</v>
      </c>
      <c r="F54" s="5">
        <f>IF(dane_19[[#This Row],[War med.]]=D55,0,1)</f>
        <v>0</v>
      </c>
    </row>
    <row r="55" spans="1:13" x14ac:dyDescent="0.2">
      <c r="A55">
        <v>54</v>
      </c>
      <c r="B55">
        <v>0.191</v>
      </c>
      <c r="C55">
        <f>IF(dane_19[[#This Row],[Dane wejściowe]]&gt;$K$2,1,0)</f>
        <v>1</v>
      </c>
      <c r="D55">
        <f>IF(dane_19[[#This Row],[Dane wejściowe]]&gt;$K$3,1,0)</f>
        <v>1</v>
      </c>
      <c r="E55">
        <f>IF(dane_19[[#This Row],[war śr]]=C56,0,1)</f>
        <v>1</v>
      </c>
      <c r="F55" s="5">
        <f>IF(dane_19[[#This Row],[War med.]]=D56,0,1)</f>
        <v>1</v>
      </c>
    </row>
    <row r="56" spans="1:13" x14ac:dyDescent="0.2">
      <c r="A56">
        <v>55</v>
      </c>
      <c r="B56">
        <v>0.189</v>
      </c>
      <c r="C56">
        <f>IF(dane_19[[#This Row],[Dane wejściowe]]&gt;$K$2,1,0)</f>
        <v>0</v>
      </c>
      <c r="D56">
        <f>IF(dane_19[[#This Row],[Dane wejściowe]]&gt;$K$3,1,0)</f>
        <v>0</v>
      </c>
      <c r="E56">
        <f>IF(dane_19[[#This Row],[war śr]]=C57,0,1)</f>
        <v>0</v>
      </c>
      <c r="F56" s="5">
        <f>IF(dane_19[[#This Row],[War med.]]=D57,0,1)</f>
        <v>0</v>
      </c>
    </row>
    <row r="57" spans="1:13" x14ac:dyDescent="0.2">
      <c r="A57">
        <v>56</v>
      </c>
      <c r="B57">
        <v>0.19</v>
      </c>
      <c r="C57">
        <f>IF(dane_19[[#This Row],[Dane wejściowe]]&gt;$K$2,1,0)</f>
        <v>0</v>
      </c>
      <c r="D57">
        <f>IF(dane_19[[#This Row],[Dane wejściowe]]&gt;$K$3,1,0)</f>
        <v>0</v>
      </c>
      <c r="E57">
        <f>IF(dane_19[[#This Row],[war śr]]=C58,0,1)</f>
        <v>1</v>
      </c>
      <c r="F57" s="5">
        <f>IF(dane_19[[#This Row],[War med.]]=D58,0,1)</f>
        <v>1</v>
      </c>
    </row>
    <row r="58" spans="1:13" x14ac:dyDescent="0.2">
      <c r="A58">
        <v>57</v>
      </c>
      <c r="B58">
        <v>0.191</v>
      </c>
      <c r="C58">
        <f>IF(dane_19[[#This Row],[Dane wejściowe]]&gt;$K$2,1,0)</f>
        <v>1</v>
      </c>
      <c r="D58">
        <f>IF(dane_19[[#This Row],[Dane wejściowe]]&gt;$K$3,1,0)</f>
        <v>1</v>
      </c>
      <c r="E58">
        <f>IF(dane_19[[#This Row],[war śr]]=C59,0,1)</f>
        <v>1</v>
      </c>
      <c r="F58" s="5">
        <f>IF(dane_19[[#This Row],[War med.]]=D59,0,1)</f>
        <v>1</v>
      </c>
    </row>
    <row r="59" spans="1:13" x14ac:dyDescent="0.2">
      <c r="A59">
        <v>58</v>
      </c>
      <c r="B59">
        <v>0.187</v>
      </c>
      <c r="C59">
        <f>IF(dane_19[[#This Row],[Dane wejściowe]]&gt;$K$2,1,0)</f>
        <v>0</v>
      </c>
      <c r="D59">
        <f>IF(dane_19[[#This Row],[Dane wejściowe]]&gt;$K$3,1,0)</f>
        <v>0</v>
      </c>
      <c r="E59">
        <f>IF(dane_19[[#This Row],[war śr]]=C60,0,1)</f>
        <v>0</v>
      </c>
      <c r="F59" s="5">
        <f>IF(dane_19[[#This Row],[War med.]]=D60,0,1)</f>
        <v>0</v>
      </c>
    </row>
    <row r="60" spans="1:13" x14ac:dyDescent="0.2">
      <c r="A60">
        <v>59</v>
      </c>
      <c r="B60">
        <v>0.187</v>
      </c>
      <c r="C60">
        <f>IF(dane_19[[#This Row],[Dane wejściowe]]&gt;$K$2,1,0)</f>
        <v>0</v>
      </c>
      <c r="D60">
        <f>IF(dane_19[[#This Row],[Dane wejściowe]]&gt;$K$3,1,0)</f>
        <v>0</v>
      </c>
      <c r="E60">
        <f>IF(dane_19[[#This Row],[war śr]]=C61,0,1)</f>
        <v>1</v>
      </c>
      <c r="F60" s="5">
        <f>IF(dane_19[[#This Row],[War med.]]=D61,0,1)</f>
        <v>1</v>
      </c>
    </row>
    <row r="61" spans="1:13" x14ac:dyDescent="0.2">
      <c r="A61">
        <v>60</v>
      </c>
      <c r="B61">
        <v>0.193</v>
      </c>
      <c r="C61">
        <f>IF(dane_19[[#This Row],[Dane wejściowe]]&gt;$K$2,1,0)</f>
        <v>1</v>
      </c>
      <c r="D61">
        <f>IF(dane_19[[#This Row],[Dane wejściowe]]&gt;$K$3,1,0)</f>
        <v>1</v>
      </c>
      <c r="E61">
        <f>IF(dane_19[[#This Row],[war śr]]=C62,0,1)</f>
        <v>1</v>
      </c>
      <c r="F61" s="5">
        <f>IF(dane_19[[#This Row],[War med.]]=D62,0,1)</f>
        <v>1</v>
      </c>
    </row>
    <row r="62" spans="1:13" x14ac:dyDescent="0.2">
      <c r="A62">
        <v>61</v>
      </c>
      <c r="B62">
        <v>0.19</v>
      </c>
      <c r="C62">
        <f>IF(dane_19[[#This Row],[Dane wejściowe]]&gt;$K$2,1,0)</f>
        <v>0</v>
      </c>
      <c r="D62">
        <f>IF(dane_19[[#This Row],[Dane wejściowe]]&gt;$K$3,1,0)</f>
        <v>0</v>
      </c>
      <c r="E62">
        <f>IF(dane_19[[#This Row],[war śr]]=C63,0,1)</f>
        <v>1</v>
      </c>
      <c r="F62" s="5">
        <f>IF(dane_19[[#This Row],[War med.]]=D63,0,1)</f>
        <v>1</v>
      </c>
    </row>
    <row r="63" spans="1:13" x14ac:dyDescent="0.2">
      <c r="A63">
        <v>62</v>
      </c>
      <c r="B63">
        <v>0.192</v>
      </c>
      <c r="C63">
        <f>IF(dane_19[[#This Row],[Dane wejściowe]]&gt;$K$2,1,0)</f>
        <v>1</v>
      </c>
      <c r="D63">
        <f>IF(dane_19[[#This Row],[Dane wejściowe]]&gt;$K$3,1,0)</f>
        <v>1</v>
      </c>
      <c r="E63">
        <f>IF(dane_19[[#This Row],[war śr]]=C64,0,1)</f>
        <v>0</v>
      </c>
      <c r="F63" s="5">
        <f>IF(dane_19[[#This Row],[War med.]]=D64,0,1)</f>
        <v>0</v>
      </c>
    </row>
    <row r="64" spans="1:13" x14ac:dyDescent="0.2">
      <c r="A64">
        <v>63</v>
      </c>
      <c r="B64">
        <v>0.191</v>
      </c>
      <c r="C64">
        <f>IF(dane_19[[#This Row],[Dane wejściowe]]&gt;$K$2,1,0)</f>
        <v>1</v>
      </c>
      <c r="D64">
        <f>IF(dane_19[[#This Row],[Dane wejściowe]]&gt;$K$3,1,0)</f>
        <v>1</v>
      </c>
      <c r="E64">
        <f>IF(dane_19[[#This Row],[war śr]]=C65,0,1)</f>
        <v>1</v>
      </c>
      <c r="F64" s="5">
        <f>IF(dane_19[[#This Row],[War med.]]=D65,0,1)</f>
        <v>1</v>
      </c>
    </row>
    <row r="65" spans="1:6" x14ac:dyDescent="0.2">
      <c r="A65">
        <v>64</v>
      </c>
      <c r="B65">
        <v>0.188</v>
      </c>
      <c r="C65">
        <f>IF(dane_19[[#This Row],[Dane wejściowe]]&gt;$K$2,1,0)</f>
        <v>0</v>
      </c>
      <c r="D65">
        <f>IF(dane_19[[#This Row],[Dane wejściowe]]&gt;$K$3,1,0)</f>
        <v>0</v>
      </c>
      <c r="E65">
        <f>IF(dane_19[[#This Row],[war śr]]=C66,0,1)</f>
        <v>0</v>
      </c>
      <c r="F65" s="5">
        <f>IF(dane_19[[#This Row],[War med.]]=D66,0,1)</f>
        <v>0</v>
      </c>
    </row>
    <row r="66" spans="1:6" x14ac:dyDescent="0.2">
      <c r="A66">
        <v>65</v>
      </c>
      <c r="B66">
        <v>0.187</v>
      </c>
      <c r="C66">
        <f>IF(dane_19[[#This Row],[Dane wejściowe]]&gt;$K$2,1,0)</f>
        <v>0</v>
      </c>
      <c r="D66">
        <f>IF(dane_19[[#This Row],[Dane wejściowe]]&gt;$K$3,1,0)</f>
        <v>0</v>
      </c>
      <c r="E66">
        <f>IF(dane_19[[#This Row],[war śr]]=C67,0,1)</f>
        <v>1</v>
      </c>
      <c r="F66" s="5">
        <f>IF(dane_19[[#This Row],[War med.]]=D67,0,1)</f>
        <v>1</v>
      </c>
    </row>
    <row r="67" spans="1:6" x14ac:dyDescent="0.2">
      <c r="A67">
        <v>66</v>
      </c>
      <c r="B67">
        <v>0.191</v>
      </c>
      <c r="C67">
        <f>IF(dane_19[[#This Row],[Dane wejściowe]]&gt;$K$2,1,0)</f>
        <v>1</v>
      </c>
      <c r="D67">
        <f>IF(dane_19[[#This Row],[Dane wejściowe]]&gt;$K$3,1,0)</f>
        <v>1</v>
      </c>
      <c r="E67">
        <f>IF(dane_19[[#This Row],[war śr]]=C68,0,1)</f>
        <v>1</v>
      </c>
      <c r="F67" s="5">
        <f>IF(dane_19[[#This Row],[War med.]]=D68,0,1)</f>
        <v>1</v>
      </c>
    </row>
    <row r="68" spans="1:6" x14ac:dyDescent="0.2">
      <c r="A68">
        <v>67</v>
      </c>
      <c r="B68">
        <v>0.19</v>
      </c>
      <c r="C68">
        <f>IF(dane_19[[#This Row],[Dane wejściowe]]&gt;$K$2,1,0)</f>
        <v>0</v>
      </c>
      <c r="D68">
        <f>IF(dane_19[[#This Row],[Dane wejściowe]]&gt;$K$3,1,0)</f>
        <v>0</v>
      </c>
      <c r="E68">
        <f>IF(dane_19[[#This Row],[war śr]]=C69,0,1)</f>
        <v>1</v>
      </c>
      <c r="F68" s="5">
        <f>IF(dane_19[[#This Row],[War med.]]=D69,0,1)</f>
        <v>1</v>
      </c>
    </row>
    <row r="69" spans="1:6" x14ac:dyDescent="0.2">
      <c r="A69">
        <v>68</v>
      </c>
      <c r="B69">
        <v>0.192</v>
      </c>
      <c r="C69">
        <f>IF(dane_19[[#This Row],[Dane wejściowe]]&gt;$K$2,1,0)</f>
        <v>1</v>
      </c>
      <c r="D69">
        <f>IF(dane_19[[#This Row],[Dane wejściowe]]&gt;$K$3,1,0)</f>
        <v>1</v>
      </c>
      <c r="E69">
        <f>IF(dane_19[[#This Row],[war śr]]=C70,0,1)</f>
        <v>1</v>
      </c>
      <c r="F69" s="5">
        <f>IF(dane_19[[#This Row],[War med.]]=D70,0,1)</f>
        <v>1</v>
      </c>
    </row>
    <row r="70" spans="1:6" x14ac:dyDescent="0.2">
      <c r="A70">
        <v>69</v>
      </c>
      <c r="B70">
        <v>0.188</v>
      </c>
      <c r="C70">
        <f>IF(dane_19[[#This Row],[Dane wejściowe]]&gt;$K$2,1,0)</f>
        <v>0</v>
      </c>
      <c r="D70">
        <f>IF(dane_19[[#This Row],[Dane wejściowe]]&gt;$K$3,1,0)</f>
        <v>0</v>
      </c>
      <c r="E70">
        <f>IF(dane_19[[#This Row],[war śr]]=C71,0,1)</f>
        <v>0</v>
      </c>
      <c r="F70" s="5">
        <f>IF(dane_19[[#This Row],[War med.]]=D71,0,1)</f>
        <v>0</v>
      </c>
    </row>
    <row r="71" spans="1:6" x14ac:dyDescent="0.2">
      <c r="A71">
        <v>70</v>
      </c>
      <c r="B71">
        <v>0.189</v>
      </c>
      <c r="C71">
        <f>IF(dane_19[[#This Row],[Dane wejściowe]]&gt;$K$2,1,0)</f>
        <v>0</v>
      </c>
      <c r="D71">
        <f>IF(dane_19[[#This Row],[Dane wejściowe]]&gt;$K$3,1,0)</f>
        <v>0</v>
      </c>
      <c r="E71">
        <f>IF(dane_19[[#This Row],[war śr]]=C72,0,1)</f>
        <v>0</v>
      </c>
      <c r="F71" s="5">
        <f>IF(dane_19[[#This Row],[War med.]]=D72,0,1)</f>
        <v>0</v>
      </c>
    </row>
    <row r="72" spans="1:6" x14ac:dyDescent="0.2">
      <c r="C72">
        <f>IF(dane_19[[#This Row],[Dane wejściowe]]&gt;$K$2,1,0)</f>
        <v>0</v>
      </c>
      <c r="D72">
        <f>IF(dane_19[[#This Row],[Dane wejściowe]]&gt;$K$3,1,0)</f>
        <v>0</v>
      </c>
      <c r="E72">
        <f>IF(dane_19[[#This Row],[war śr]]=C73,0,1)</f>
        <v>0</v>
      </c>
      <c r="F72" s="5">
        <f>IF(dane_19[[#This Row],[War med.]]=D73,0,1)</f>
        <v>0</v>
      </c>
    </row>
  </sheetData>
  <mergeCells count="4">
    <mergeCell ref="J36:K36"/>
    <mergeCell ref="L36:M36"/>
    <mergeCell ref="J46:M46"/>
    <mergeCell ref="J47:M50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A6CD-0E61-4582-AC1B-475F361CB6AC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51E82E-28F8-47AF-B155-C0B27F50D0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Arkusz2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Adam Ludwiczak</cp:lastModifiedBy>
  <dcterms:created xsi:type="dcterms:W3CDTF">2021-12-12T11:23:13Z</dcterms:created>
  <dcterms:modified xsi:type="dcterms:W3CDTF">2021-12-12T12:44:55Z</dcterms:modified>
</cp:coreProperties>
</file>